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Mijozlar" sheetId="1" state="visible" r:id="rId1"/>
    <sheet xmlns:r="http://schemas.openxmlformats.org/officeDocument/2006/relationships" name="2. Tariflar" sheetId="2" state="visible" r:id="rId2"/>
    <sheet xmlns:r="http://schemas.openxmlformats.org/officeDocument/2006/relationships" name="3. Daromad" sheetId="3" state="visible" r:id="rId3"/>
    <sheet xmlns:r="http://schemas.openxmlformats.org/officeDocument/2006/relationships" name="4. Xarajatlar" sheetId="4" state="visible" r:id="rId4"/>
    <sheet xmlns:r="http://schemas.openxmlformats.org/officeDocument/2006/relationships" name="5. Aylanma mablag'" sheetId="5" state="visible" r:id="rId5"/>
    <sheet xmlns:r="http://schemas.openxmlformats.org/officeDocument/2006/relationships" name="6. Sof foyda" sheetId="6" state="visible" r:id="rId6"/>
    <sheet xmlns:r="http://schemas.openxmlformats.org/officeDocument/2006/relationships" name="7. Startup KPI" sheetId="7" state="visible" r:id="rId7"/>
    <sheet xmlns:r="http://schemas.openxmlformats.org/officeDocument/2006/relationships" name="XULOS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sz val="10"/>
    </font>
    <font>
      <b val="1"/>
    </font>
  </fonts>
  <fills count="5">
    <fill>
      <patternFill/>
    </fill>
    <fill>
      <patternFill patternType="gray125"/>
    </fill>
    <fill>
      <patternFill patternType="solid">
        <fgColor rgb="001F6F43"/>
      </patternFill>
    </fill>
    <fill>
      <patternFill patternType="solid">
        <fgColor rgb="00D9EAD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3" fontId="0" fillId="0" borderId="1" pivotButton="0" quotePrefix="0" xfId="0"/>
    <xf numFmtId="3" fontId="3" fillId="4" borderId="0" pivotButton="0" quotePrefix="0" xfId="0"/>
    <xf numFmtId="0" fontId="3" fillId="0" borderId="0" pivotButton="0" quotePrefix="0" xfId="0"/>
    <xf numFmtId="3" fontId="3" fillId="0" borderId="1" pivotButton="0" quotePrefix="0" xfId="0"/>
    <xf numFmtId="164" fontId="0" fillId="0" borderId="1" pivotButton="0" quotePrefix="0" xfId="0"/>
    <xf numFmtId="164" fontId="3" fillId="4" borderId="0" pivotButton="0" quotePrefix="0" xfId="0"/>
    <xf numFmtId="3" fontId="0" fillId="0" borderId="0" pivotButton="0" quotePrefix="0" xfId="0"/>
    <xf numFmtId="2" fontId="0" fillId="0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 ht="22" customHeight="1">
      <c r="A1" s="1" t="inlineStr">
        <is>
          <t>1. MIJOZLAR — baza va o'sish</t>
        </is>
      </c>
    </row>
    <row r="2">
      <c r="A2" t="inlineStr">
        <is>
          <t>M1 — bugungi FAKT: 12 restoran + 15 oila (obuna) + ~205 chakana xarid = 43,241,072 so'm/oy. O'sish shu nuqtadan.</t>
        </is>
      </c>
    </row>
    <row r="4">
      <c r="A4" s="2" t="inlineStr">
        <is>
          <t>Ko'rsatkich</t>
        </is>
      </c>
      <c r="B4" s="3" t="inlineStr">
        <is>
          <t>Sep'26</t>
        </is>
      </c>
      <c r="C4" s="3" t="inlineStr">
        <is>
          <t>Oct'26</t>
        </is>
      </c>
      <c r="D4" s="3" t="inlineStr">
        <is>
          <t>Nov'26</t>
        </is>
      </c>
      <c r="E4" s="3" t="inlineStr">
        <is>
          <t>Dec'26</t>
        </is>
      </c>
      <c r="F4" s="3" t="inlineStr">
        <is>
          <t>Jan'27</t>
        </is>
      </c>
      <c r="G4" s="3" t="inlineStr">
        <is>
          <t>Feb'27</t>
        </is>
      </c>
      <c r="H4" s="3" t="inlineStr">
        <is>
          <t>Mar'27</t>
        </is>
      </c>
      <c r="I4" s="3" t="inlineStr">
        <is>
          <t>Apr'27</t>
        </is>
      </c>
      <c r="J4" s="3" t="inlineStr">
        <is>
          <t>May'27</t>
        </is>
      </c>
      <c r="K4" s="3" t="inlineStr">
        <is>
          <t>Jun'27</t>
        </is>
      </c>
      <c r="L4" s="3" t="inlineStr">
        <is>
          <t>Jul'27</t>
        </is>
      </c>
      <c r="M4" s="3" t="inlineStr">
        <is>
          <t>Aug'27</t>
        </is>
      </c>
      <c r="N4" s="4" t="inlineStr">
        <is>
          <t>Oxirgi oy</t>
        </is>
      </c>
    </row>
    <row r="5">
      <c r="A5" t="inlineStr">
        <is>
          <t>Restoranlar (B2B)</t>
        </is>
      </c>
      <c r="B5" s="5" t="n">
        <v>12</v>
      </c>
      <c r="C5" s="5" t="n">
        <v>12</v>
      </c>
      <c r="D5" s="5" t="n">
        <v>13</v>
      </c>
      <c r="E5" s="5" t="n">
        <v>14</v>
      </c>
      <c r="F5" s="5" t="n">
        <v>15</v>
      </c>
      <c r="G5" s="5" t="n">
        <v>16</v>
      </c>
      <c r="H5" s="5" t="n">
        <v>17</v>
      </c>
      <c r="I5" s="5" t="n">
        <v>18</v>
      </c>
      <c r="J5" s="5" t="n">
        <v>19</v>
      </c>
      <c r="K5" s="5" t="n">
        <v>20</v>
      </c>
      <c r="L5" s="5" t="n">
        <v>21</v>
      </c>
      <c r="M5" s="5" t="n">
        <v>22</v>
      </c>
      <c r="N5" s="6" t="n">
        <v>22</v>
      </c>
    </row>
    <row r="6">
      <c r="A6" t="inlineStr">
        <is>
          <t>Oilalar (obuna)</t>
        </is>
      </c>
      <c r="B6" s="5" t="n">
        <v>15</v>
      </c>
      <c r="C6" s="5" t="n">
        <v>16</v>
      </c>
      <c r="D6" s="5" t="n">
        <v>17</v>
      </c>
      <c r="E6" s="5" t="n">
        <v>18</v>
      </c>
      <c r="F6" s="5" t="n">
        <v>20</v>
      </c>
      <c r="G6" s="5" t="n">
        <v>22</v>
      </c>
      <c r="H6" s="5" t="n">
        <v>24</v>
      </c>
      <c r="I6" s="5" t="n">
        <v>26</v>
      </c>
      <c r="J6" s="5" t="n">
        <v>28</v>
      </c>
      <c r="K6" s="5" t="n">
        <v>30</v>
      </c>
      <c r="L6" s="5" t="n">
        <v>32</v>
      </c>
      <c r="M6" s="5" t="n">
        <v>34</v>
      </c>
      <c r="N6" s="6" t="n">
        <v>34</v>
      </c>
    </row>
    <row r="7">
      <c r="A7" s="7" t="inlineStr">
        <is>
          <t>DOIMIY MIJOZLAR</t>
        </is>
      </c>
      <c r="B7" s="8" t="n">
        <v>27</v>
      </c>
      <c r="C7" s="8" t="n">
        <v>28</v>
      </c>
      <c r="D7" s="8" t="n">
        <v>30</v>
      </c>
      <c r="E7" s="8" t="n">
        <v>32</v>
      </c>
      <c r="F7" s="8" t="n">
        <v>35</v>
      </c>
      <c r="G7" s="8" t="n">
        <v>38</v>
      </c>
      <c r="H7" s="8" t="n">
        <v>41</v>
      </c>
      <c r="I7" s="8" t="n">
        <v>44</v>
      </c>
      <c r="J7" s="8" t="n">
        <v>47</v>
      </c>
      <c r="K7" s="8" t="n">
        <v>50</v>
      </c>
      <c r="L7" s="8" t="n">
        <v>53</v>
      </c>
      <c r="M7" s="8" t="n">
        <v>56</v>
      </c>
      <c r="N7" s="6" t="n">
        <v>56</v>
      </c>
    </row>
    <row r="8">
      <c r="A8" t="inlineStr">
        <is>
          <t>Chakana xaridlar (dona/oy)</t>
        </is>
      </c>
      <c r="B8" s="5" t="n">
        <v>205</v>
      </c>
      <c r="C8" s="5" t="n">
        <v>210</v>
      </c>
      <c r="D8" s="5" t="n">
        <v>220</v>
      </c>
      <c r="E8" s="5" t="n">
        <v>230</v>
      </c>
      <c r="F8" s="5" t="n">
        <v>245</v>
      </c>
      <c r="G8" s="5" t="n">
        <v>260</v>
      </c>
      <c r="H8" s="5" t="n">
        <v>275</v>
      </c>
      <c r="I8" s="5" t="n">
        <v>290</v>
      </c>
      <c r="J8" s="5" t="n">
        <v>305</v>
      </c>
      <c r="K8" s="5" t="n">
        <v>320</v>
      </c>
      <c r="L8" s="5" t="n">
        <v>335</v>
      </c>
      <c r="M8" s="5" t="n">
        <v>350</v>
      </c>
      <c r="N8" s="6" t="n">
        <v>350</v>
      </c>
    </row>
    <row r="9">
      <c r="A9" t="inlineStr">
        <is>
          <t>Yangi mijozlar</t>
        </is>
      </c>
      <c r="B9" s="5" t="n">
        <v>0</v>
      </c>
      <c r="C9" s="5" t="n">
        <v>1</v>
      </c>
      <c r="D9" s="5" t="n">
        <v>2</v>
      </c>
      <c r="E9" s="5" t="n">
        <v>2</v>
      </c>
      <c r="F9" s="5" t="n">
        <v>3</v>
      </c>
      <c r="G9" s="5" t="n">
        <v>3</v>
      </c>
      <c r="H9" s="5" t="n">
        <v>3</v>
      </c>
      <c r="I9" s="5" t="n">
        <v>3</v>
      </c>
      <c r="J9" s="5" t="n">
        <v>3</v>
      </c>
      <c r="K9" s="5" t="n">
        <v>3</v>
      </c>
      <c r="L9" s="5" t="n">
        <v>3</v>
      </c>
      <c r="M9" s="5" t="n">
        <v>3</v>
      </c>
      <c r="N9" s="6" t="n">
        <v>29</v>
      </c>
    </row>
    <row r="10">
      <c r="A10" t="inlineStr">
        <is>
          <t>Churn (oylik, %)</t>
        </is>
      </c>
      <c r="B10" s="9" t="n">
        <v>2.5</v>
      </c>
      <c r="C10" s="9" t="n">
        <v>2.5</v>
      </c>
      <c r="D10" s="9" t="n">
        <v>2.5</v>
      </c>
      <c r="E10" s="9" t="n">
        <v>2.5</v>
      </c>
      <c r="F10" s="9" t="n">
        <v>2.5</v>
      </c>
      <c r="G10" s="9" t="n">
        <v>2.5</v>
      </c>
      <c r="H10" s="9" t="n">
        <v>2.5</v>
      </c>
      <c r="I10" s="9" t="n">
        <v>2.5</v>
      </c>
      <c r="J10" s="9" t="n">
        <v>2.5</v>
      </c>
      <c r="K10" s="9" t="n">
        <v>2.5</v>
      </c>
      <c r="L10" s="9" t="n">
        <v>2.5</v>
      </c>
      <c r="M10" s="9" t="n">
        <v>2.5</v>
      </c>
      <c r="N10" s="10" t="n">
        <v>2.5</v>
      </c>
    </row>
  </sheetData>
  <mergeCells count="1"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52" customWidth="1" min="4" max="4"/>
  </cols>
  <sheetData>
    <row r="1" ht="22" customHeight="1">
      <c r="A1" s="1" t="inlineStr">
        <is>
          <t>2. TARIFLAR — modelda ishlatilgan narxlar</t>
        </is>
      </c>
    </row>
    <row r="3">
      <c r="A3" s="2" t="inlineStr">
        <is>
          <t>Kanal / Mahsulot</t>
        </is>
      </c>
      <c r="B3" s="3" t="inlineStr">
        <is>
          <t>Narx (UZS)</t>
        </is>
      </c>
      <c r="C3" s="3" t="inlineStr">
        <is>
          <t>Narx ($)</t>
        </is>
      </c>
      <c r="D3" s="3" t="inlineStr">
        <is>
          <t>Izoh</t>
        </is>
      </c>
    </row>
    <row r="4">
      <c r="A4" t="inlineStr">
        <is>
          <t>Restoran — bitta yetkazish cheki</t>
        </is>
      </c>
      <c r="B4" s="11" t="n">
        <v>455000</v>
      </c>
      <c r="C4" s="12" t="n">
        <v>35</v>
      </c>
      <c r="D4" t="inlineStr">
        <is>
          <t>Oyiga ~3 marta yetkazamiz → 1,365,000 so'm/oy</t>
        </is>
      </c>
    </row>
    <row r="5">
      <c r="A5" t="inlineStr">
        <is>
          <t>Oila obunasi (oylik)</t>
        </is>
      </c>
      <c r="B5" s="11" t="n">
        <v>360000</v>
      </c>
      <c r="C5" s="12" t="n">
        <v>27.69</v>
      </c>
      <c r="D5" t="inlineStr">
        <is>
          <t>Yagona haqiqiy obuna kanali</t>
        </is>
      </c>
    </row>
    <row r="6">
      <c r="A6" t="inlineStr">
        <is>
          <t>Chakana savdo — o'rtacha chek</t>
        </is>
      </c>
      <c r="B6" s="11" t="n">
        <v>130000</v>
      </c>
      <c r="C6" s="12" t="n">
        <v>10</v>
      </c>
      <c r="D6" t="inlineStr">
        <is>
          <t>Mijozlar donalab oladi, eng katta oqim</t>
        </is>
      </c>
    </row>
    <row r="7">
      <c r="A7" t="inlineStr">
        <is>
          <t>Premium qulupnay (1 kg)</t>
        </is>
      </c>
      <c r="B7" s="11" t="n">
        <v>325000</v>
      </c>
      <c r="C7" s="12" t="n">
        <v>25</v>
      </c>
      <c r="D7" t="inlineStr">
        <is>
          <t>Yangi ferma mahsuloti, asosan chakanaga</t>
        </is>
      </c>
    </row>
    <row r="8">
      <c r="A8" s="7" t="inlineStr">
        <is>
          <t>Ferma quvvati (fizik chegara):</t>
        </is>
      </c>
    </row>
    <row r="9">
      <c r="A9" t="inlineStr">
        <is>
          <t>2700 tup × 1.0 kg/yil = 2,700 kg/yil</t>
        </is>
      </c>
    </row>
    <row r="10">
      <c r="A10">
        <f> 73,125,000 so'm/oy — bundan ortiq 60 m² dan olib bo'lmaydi. Kengaytirish keyingi bosqich.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22" customHeight="1">
      <c r="A1" s="1" t="inlineStr">
        <is>
          <t>3. DAROMAD</t>
        </is>
      </c>
    </row>
    <row r="3">
      <c r="A3" s="2" t="inlineStr">
        <is>
          <t>Ko'rsatkich (UZS)</t>
        </is>
      </c>
      <c r="B3" s="3" t="inlineStr">
        <is>
          <t>Sep'26</t>
        </is>
      </c>
      <c r="C3" s="3" t="inlineStr">
        <is>
          <t>Oct'26</t>
        </is>
      </c>
      <c r="D3" s="3" t="inlineStr">
        <is>
          <t>Nov'26</t>
        </is>
      </c>
      <c r="E3" s="3" t="inlineStr">
        <is>
          <t>Dec'26</t>
        </is>
      </c>
      <c r="F3" s="3" t="inlineStr">
        <is>
          <t>Jan'27</t>
        </is>
      </c>
      <c r="G3" s="3" t="inlineStr">
        <is>
          <t>Feb'27</t>
        </is>
      </c>
      <c r="H3" s="3" t="inlineStr">
        <is>
          <t>Mar'27</t>
        </is>
      </c>
      <c r="I3" s="3" t="inlineStr">
        <is>
          <t>Apr'27</t>
        </is>
      </c>
      <c r="J3" s="3" t="inlineStr">
        <is>
          <t>May'27</t>
        </is>
      </c>
      <c r="K3" s="3" t="inlineStr">
        <is>
          <t>Jun'27</t>
        </is>
      </c>
      <c r="L3" s="3" t="inlineStr">
        <is>
          <t>Jul'27</t>
        </is>
      </c>
      <c r="M3" s="3" t="inlineStr">
        <is>
          <t>Aug'27</t>
        </is>
      </c>
      <c r="N3" s="4" t="inlineStr">
        <is>
          <t>JAMI</t>
        </is>
      </c>
    </row>
    <row r="4">
      <c r="A4" t="inlineStr">
        <is>
          <t>Mijozlar to'lovi (QQS bilan)</t>
        </is>
      </c>
      <c r="B4" s="5" t="n">
        <v>48430000</v>
      </c>
      <c r="C4" s="5" t="n">
        <v>49440000</v>
      </c>
      <c r="D4" s="5" t="n">
        <v>52465000</v>
      </c>
      <c r="E4" s="5" t="n">
        <v>73771250</v>
      </c>
      <c r="F4" s="5" t="n">
        <v>96087500</v>
      </c>
      <c r="G4" s="5" t="n">
        <v>118403750</v>
      </c>
      <c r="H4" s="5" t="n">
        <v>140720000</v>
      </c>
      <c r="I4" s="5" t="n">
        <v>144755000</v>
      </c>
      <c r="J4" s="5" t="n">
        <v>148790000</v>
      </c>
      <c r="K4" s="5" t="n">
        <v>152825000</v>
      </c>
      <c r="L4" s="5" t="n">
        <v>156860000</v>
      </c>
      <c r="M4" s="5" t="n">
        <v>160895000</v>
      </c>
      <c r="N4" s="6" t="n">
        <v>1343442500</v>
      </c>
    </row>
    <row r="5">
      <c r="A5" t="inlineStr">
        <is>
          <t>QQS (12%)</t>
        </is>
      </c>
      <c r="B5" s="5" t="n">
        <v>5188928</v>
      </c>
      <c r="C5" s="5" t="n">
        <v>5297143</v>
      </c>
      <c r="D5" s="5" t="n">
        <v>5621250</v>
      </c>
      <c r="E5" s="5" t="n">
        <v>7904062</v>
      </c>
      <c r="F5" s="5" t="n">
        <v>10295090</v>
      </c>
      <c r="G5" s="5" t="n">
        <v>12686116</v>
      </c>
      <c r="H5" s="5" t="n">
        <v>15077142</v>
      </c>
      <c r="I5" s="5" t="n">
        <v>15509464</v>
      </c>
      <c r="J5" s="5" t="n">
        <v>15941785</v>
      </c>
      <c r="K5" s="5" t="n">
        <v>16374107</v>
      </c>
      <c r="L5" s="5" t="n">
        <v>16806428</v>
      </c>
      <c r="M5" s="5" t="n">
        <v>17238750</v>
      </c>
      <c r="N5" s="6" t="n">
        <v>143940265</v>
      </c>
    </row>
    <row r="7">
      <c r="A7" t="inlineStr">
        <is>
          <t>Restoranlar (buyurtma)</t>
        </is>
      </c>
      <c r="B7" s="5" t="n">
        <v>14625000</v>
      </c>
      <c r="C7" s="5" t="n">
        <v>14625000</v>
      </c>
      <c r="D7" s="5" t="n">
        <v>15843750</v>
      </c>
      <c r="E7" s="5" t="n">
        <v>17062500</v>
      </c>
      <c r="F7" s="5" t="n">
        <v>18281250</v>
      </c>
      <c r="G7" s="5" t="n">
        <v>19500000</v>
      </c>
      <c r="H7" s="5" t="n">
        <v>20718750</v>
      </c>
      <c r="I7" s="5" t="n">
        <v>21937500</v>
      </c>
      <c r="J7" s="5" t="n">
        <v>23156250</v>
      </c>
      <c r="K7" s="5" t="n">
        <v>24375000</v>
      </c>
      <c r="L7" s="5" t="n">
        <v>25593750</v>
      </c>
      <c r="M7" s="5" t="n">
        <v>26812500</v>
      </c>
      <c r="N7" s="6" t="n">
        <v>242531250</v>
      </c>
    </row>
    <row r="8">
      <c r="A8" t="inlineStr">
        <is>
          <t>Oila obunalari</t>
        </is>
      </c>
      <c r="B8" s="5" t="n">
        <v>4821429</v>
      </c>
      <c r="C8" s="5" t="n">
        <v>5142857</v>
      </c>
      <c r="D8" s="5" t="n">
        <v>5464286</v>
      </c>
      <c r="E8" s="5" t="n">
        <v>5785714</v>
      </c>
      <c r="F8" s="5" t="n">
        <v>6428571</v>
      </c>
      <c r="G8" s="5" t="n">
        <v>7071429</v>
      </c>
      <c r="H8" s="5" t="n">
        <v>7714286</v>
      </c>
      <c r="I8" s="5" t="n">
        <v>8357143</v>
      </c>
      <c r="J8" s="5" t="n">
        <v>9000000</v>
      </c>
      <c r="K8" s="5" t="n">
        <v>9642857</v>
      </c>
      <c r="L8" s="5" t="n">
        <v>10285714</v>
      </c>
      <c r="M8" s="5" t="n">
        <v>10928571</v>
      </c>
      <c r="N8" s="6" t="n">
        <v>90642857</v>
      </c>
    </row>
    <row r="9">
      <c r="A9" t="inlineStr">
        <is>
          <t>Chakana savdo</t>
        </is>
      </c>
      <c r="B9" s="5" t="n">
        <v>23794643</v>
      </c>
      <c r="C9" s="5" t="n">
        <v>24375000</v>
      </c>
      <c r="D9" s="5" t="n">
        <v>25535714</v>
      </c>
      <c r="E9" s="5" t="n">
        <v>26696429</v>
      </c>
      <c r="F9" s="5" t="n">
        <v>28437500</v>
      </c>
      <c r="G9" s="5" t="n">
        <v>30178571</v>
      </c>
      <c r="H9" s="5" t="n">
        <v>31919643</v>
      </c>
      <c r="I9" s="5" t="n">
        <v>33660714</v>
      </c>
      <c r="J9" s="5" t="n">
        <v>35401786</v>
      </c>
      <c r="K9" s="5" t="n">
        <v>37142857</v>
      </c>
      <c r="L9" s="5" t="n">
        <v>38883929</v>
      </c>
      <c r="M9" s="5" t="n">
        <v>40625000</v>
      </c>
      <c r="N9" s="6" t="n">
        <v>376651786</v>
      </c>
    </row>
    <row r="10">
      <c r="A10" t="inlineStr">
        <is>
          <t>Qulupnay</t>
        </is>
      </c>
      <c r="B10" s="5" t="n">
        <v>0</v>
      </c>
      <c r="C10" s="5" t="n">
        <v>0</v>
      </c>
      <c r="D10" s="5" t="n">
        <v>0</v>
      </c>
      <c r="E10" s="5" t="n">
        <v>16322545</v>
      </c>
      <c r="F10" s="5" t="n">
        <v>32645089</v>
      </c>
      <c r="G10" s="5" t="n">
        <v>48967634</v>
      </c>
      <c r="H10" s="5" t="n">
        <v>65290179</v>
      </c>
      <c r="I10" s="5" t="n">
        <v>65290179</v>
      </c>
      <c r="J10" s="5" t="n">
        <v>65290179</v>
      </c>
      <c r="K10" s="5" t="n">
        <v>65290179</v>
      </c>
      <c r="L10" s="5" t="n">
        <v>65290179</v>
      </c>
      <c r="M10" s="5" t="n">
        <v>65290179</v>
      </c>
      <c r="N10" s="6" t="n">
        <v>489676342</v>
      </c>
    </row>
    <row r="11">
      <c r="A11" s="7" t="inlineStr">
        <is>
          <t>JAMI DAROMAD (QQSsiz)</t>
        </is>
      </c>
      <c r="B11" s="8" t="n">
        <v>43241072</v>
      </c>
      <c r="C11" s="8" t="n">
        <v>44142857</v>
      </c>
      <c r="D11" s="8" t="n">
        <v>46843750</v>
      </c>
      <c r="E11" s="8" t="n">
        <v>65867188</v>
      </c>
      <c r="F11" s="8" t="n">
        <v>85792410</v>
      </c>
      <c r="G11" s="8" t="n">
        <v>105717634</v>
      </c>
      <c r="H11" s="8" t="n">
        <v>125642858</v>
      </c>
      <c r="I11" s="8" t="n">
        <v>129245536</v>
      </c>
      <c r="J11" s="8" t="n">
        <v>132848215</v>
      </c>
      <c r="K11" s="8" t="n">
        <v>136450893</v>
      </c>
      <c r="L11" s="8" t="n">
        <v>140053572</v>
      </c>
      <c r="M11" s="8" t="n">
        <v>143656250</v>
      </c>
      <c r="N11" s="6" t="n">
        <v>1199502235</v>
      </c>
    </row>
    <row r="13">
      <c r="A13" t="inlineStr">
        <is>
          <t>MRR (takrorlanuvchi)</t>
        </is>
      </c>
      <c r="B13" s="5" t="n">
        <v>19446429</v>
      </c>
      <c r="C13" s="5" t="n">
        <v>19767857</v>
      </c>
      <c r="D13" s="5" t="n">
        <v>21308036</v>
      </c>
      <c r="E13" s="5" t="n">
        <v>22848214</v>
      </c>
      <c r="F13" s="5" t="n">
        <v>24709821</v>
      </c>
      <c r="G13" s="5" t="n">
        <v>26571429</v>
      </c>
      <c r="H13" s="5" t="n">
        <v>28433036</v>
      </c>
      <c r="I13" s="5" t="n">
        <v>30294643</v>
      </c>
      <c r="J13" s="5" t="n">
        <v>32156250</v>
      </c>
      <c r="K13" s="5" t="n">
        <v>34017857</v>
      </c>
      <c r="L13" s="5" t="n">
        <v>35879464</v>
      </c>
      <c r="M13" s="5" t="n">
        <v>37741071</v>
      </c>
      <c r="N13" s="6" t="n">
        <v>37741071</v>
      </c>
    </row>
    <row r="14">
      <c r="A14" t="inlineStr">
        <is>
          <t>ARR (yillik)</t>
        </is>
      </c>
      <c r="B14" s="5" t="n">
        <v>233357148</v>
      </c>
      <c r="C14" s="5" t="n">
        <v>237214284</v>
      </c>
      <c r="D14" s="5" t="n">
        <v>255696432</v>
      </c>
      <c r="E14" s="5" t="n">
        <v>274178568</v>
      </c>
      <c r="F14" s="5" t="n">
        <v>296517852</v>
      </c>
      <c r="G14" s="5" t="n">
        <v>318857148</v>
      </c>
      <c r="H14" s="5" t="n">
        <v>341196432</v>
      </c>
      <c r="I14" s="5" t="n">
        <v>363535716</v>
      </c>
      <c r="J14" s="5" t="n">
        <v>385875000</v>
      </c>
      <c r="K14" s="5" t="n">
        <v>408214284</v>
      </c>
      <c r="L14" s="5" t="n">
        <v>430553568</v>
      </c>
      <c r="M14" s="5" t="n">
        <v>452892852</v>
      </c>
      <c r="N14" s="6" t="n">
        <v>452892852</v>
      </c>
    </row>
    <row r="15">
      <c r="A15" t="inlineStr">
        <is>
          <t>ARPU</t>
        </is>
      </c>
      <c r="B15" s="5" t="n">
        <v>1601521</v>
      </c>
      <c r="C15" s="5" t="n">
        <v>1576531</v>
      </c>
      <c r="D15" s="5" t="n">
        <v>1561458</v>
      </c>
      <c r="E15" s="5" t="n">
        <v>2058350</v>
      </c>
      <c r="F15" s="5" t="n">
        <v>2451212</v>
      </c>
      <c r="G15" s="5" t="n">
        <v>2782043</v>
      </c>
      <c r="H15" s="5" t="n">
        <v>3064460</v>
      </c>
      <c r="I15" s="5" t="n">
        <v>2937399</v>
      </c>
      <c r="J15" s="5" t="n">
        <v>2826558</v>
      </c>
      <c r="K15" s="5" t="n">
        <v>2729018</v>
      </c>
      <c r="L15" s="5" t="n">
        <v>2642520</v>
      </c>
      <c r="M15" s="5" t="n">
        <v>2565290</v>
      </c>
      <c r="N15" s="6" t="n">
        <v>2565290</v>
      </c>
    </row>
    <row r="16">
      <c r="A16" t="inlineStr">
        <is>
          <t>Daromad ($)</t>
        </is>
      </c>
      <c r="B16" s="5" t="n">
        <v>3326</v>
      </c>
      <c r="C16" s="5" t="n">
        <v>3396</v>
      </c>
      <c r="D16" s="5" t="n">
        <v>3603</v>
      </c>
      <c r="E16" s="5" t="n">
        <v>5067</v>
      </c>
      <c r="F16" s="5" t="n">
        <v>6599</v>
      </c>
      <c r="G16" s="5" t="n">
        <v>8132</v>
      </c>
      <c r="H16" s="5" t="n">
        <v>9665</v>
      </c>
      <c r="I16" s="5" t="n">
        <v>9942</v>
      </c>
      <c r="J16" s="5" t="n">
        <v>10219</v>
      </c>
      <c r="K16" s="5" t="n">
        <v>10496</v>
      </c>
      <c r="L16" s="5" t="n">
        <v>10773</v>
      </c>
      <c r="M16" s="5" t="n">
        <v>11050</v>
      </c>
      <c r="N16" s="6" t="n">
        <v>92269</v>
      </c>
    </row>
  </sheetData>
  <mergeCells count="1"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22" customHeight="1">
      <c r="A1" s="1" t="inlineStr">
        <is>
          <t>4. XARAJATLAR</t>
        </is>
      </c>
    </row>
    <row r="3">
      <c r="A3" s="2" t="inlineStr">
        <is>
          <t>Xarajat turi (UZS)</t>
        </is>
      </c>
      <c r="B3" s="3" t="inlineStr">
        <is>
          <t>Sep'26</t>
        </is>
      </c>
      <c r="C3" s="3" t="inlineStr">
        <is>
          <t>Oct'26</t>
        </is>
      </c>
      <c r="D3" s="3" t="inlineStr">
        <is>
          <t>Nov'26</t>
        </is>
      </c>
      <c r="E3" s="3" t="inlineStr">
        <is>
          <t>Dec'26</t>
        </is>
      </c>
      <c r="F3" s="3" t="inlineStr">
        <is>
          <t>Jan'27</t>
        </is>
      </c>
      <c r="G3" s="3" t="inlineStr">
        <is>
          <t>Feb'27</t>
        </is>
      </c>
      <c r="H3" s="3" t="inlineStr">
        <is>
          <t>Mar'27</t>
        </is>
      </c>
      <c r="I3" s="3" t="inlineStr">
        <is>
          <t>Apr'27</t>
        </is>
      </c>
      <c r="J3" s="3" t="inlineStr">
        <is>
          <t>May'27</t>
        </is>
      </c>
      <c r="K3" s="3" t="inlineStr">
        <is>
          <t>Jun'27</t>
        </is>
      </c>
      <c r="L3" s="3" t="inlineStr">
        <is>
          <t>Jul'27</t>
        </is>
      </c>
      <c r="M3" s="3" t="inlineStr">
        <is>
          <t>Aug'27</t>
        </is>
      </c>
      <c r="N3" s="4" t="inlineStr">
        <is>
          <t>JAMI</t>
        </is>
      </c>
    </row>
    <row r="4">
      <c r="A4" t="inlineStr">
        <is>
          <t>Ish haqi</t>
        </is>
      </c>
      <c r="B4" s="5" t="n">
        <v>26000000</v>
      </c>
      <c r="C4" s="5" t="n">
        <v>26000000</v>
      </c>
      <c r="D4" s="5" t="n">
        <v>26000000</v>
      </c>
      <c r="E4" s="5" t="n">
        <v>26000000</v>
      </c>
      <c r="F4" s="5" t="n">
        <v>26000000</v>
      </c>
      <c r="G4" s="5" t="n">
        <v>26000000</v>
      </c>
      <c r="H4" s="5" t="n">
        <v>35000000</v>
      </c>
      <c r="I4" s="5" t="n">
        <v>35000000</v>
      </c>
      <c r="J4" s="5" t="n">
        <v>35000000</v>
      </c>
      <c r="K4" s="5" t="n">
        <v>35000000</v>
      </c>
      <c r="L4" s="5" t="n">
        <v>35000000</v>
      </c>
      <c r="M4" s="5" t="n">
        <v>35000000</v>
      </c>
      <c r="N4" s="6" t="n">
        <v>366000000</v>
      </c>
    </row>
    <row r="5">
      <c r="A5" t="inlineStr">
        <is>
          <t>Ijara + kommunal</t>
        </is>
      </c>
      <c r="B5" s="5" t="n">
        <v>11200000</v>
      </c>
      <c r="C5" s="5" t="n">
        <v>11200000</v>
      </c>
      <c r="D5" s="5" t="n">
        <v>11200000</v>
      </c>
      <c r="E5" s="5" t="n">
        <v>11200000</v>
      </c>
      <c r="F5" s="5" t="n">
        <v>11200000</v>
      </c>
      <c r="G5" s="5" t="n">
        <v>11200000</v>
      </c>
      <c r="H5" s="5" t="n">
        <v>11200000</v>
      </c>
      <c r="I5" s="5" t="n">
        <v>11200000</v>
      </c>
      <c r="J5" s="5" t="n">
        <v>11200000</v>
      </c>
      <c r="K5" s="5" t="n">
        <v>11200000</v>
      </c>
      <c r="L5" s="5" t="n">
        <v>11200000</v>
      </c>
      <c r="M5" s="5" t="n">
        <v>11200000</v>
      </c>
      <c r="N5" s="6" t="n">
        <v>134400000</v>
      </c>
    </row>
    <row r="6">
      <c r="A6" t="inlineStr">
        <is>
          <t>Materiallar</t>
        </is>
      </c>
      <c r="B6" s="5" t="n">
        <v>2000000</v>
      </c>
      <c r="C6" s="5" t="n">
        <v>2000000</v>
      </c>
      <c r="D6" s="5" t="n">
        <v>2000000</v>
      </c>
      <c r="E6" s="5" t="n">
        <v>2000000</v>
      </c>
      <c r="F6" s="5" t="n">
        <v>2000000</v>
      </c>
      <c r="G6" s="5" t="n">
        <v>2000000</v>
      </c>
      <c r="H6" s="5" t="n">
        <v>2000000</v>
      </c>
      <c r="I6" s="5" t="n">
        <v>2000000</v>
      </c>
      <c r="J6" s="5" t="n">
        <v>2000000</v>
      </c>
      <c r="K6" s="5" t="n">
        <v>2000000</v>
      </c>
      <c r="L6" s="5" t="n">
        <v>2000000</v>
      </c>
      <c r="M6" s="5" t="n">
        <v>2000000</v>
      </c>
      <c r="N6" s="6" t="n">
        <v>24000000</v>
      </c>
    </row>
    <row r="7">
      <c r="A7" t="inlineStr">
        <is>
          <t>Marketing</t>
        </is>
      </c>
      <c r="B7" s="5" t="n">
        <v>1500000</v>
      </c>
      <c r="C7" s="5" t="n">
        <v>1500000</v>
      </c>
      <c r="D7" s="5" t="n">
        <v>1500000</v>
      </c>
      <c r="E7" s="5" t="n">
        <v>1500000</v>
      </c>
      <c r="F7" s="5" t="n">
        <v>1500000</v>
      </c>
      <c r="G7" s="5" t="n">
        <v>1500000</v>
      </c>
      <c r="H7" s="5" t="n">
        <v>1500000</v>
      </c>
      <c r="I7" s="5" t="n">
        <v>1500000</v>
      </c>
      <c r="J7" s="5" t="n">
        <v>1500000</v>
      </c>
      <c r="K7" s="5" t="n">
        <v>1500000</v>
      </c>
      <c r="L7" s="5" t="n">
        <v>1500000</v>
      </c>
      <c r="M7" s="5" t="n">
        <v>1500000</v>
      </c>
      <c r="N7" s="6" t="n">
        <v>18000000</v>
      </c>
    </row>
    <row r="8">
      <c r="A8" t="inlineStr">
        <is>
          <t>Transport</t>
        </is>
      </c>
      <c r="B8" s="5" t="n">
        <v>1500000</v>
      </c>
      <c r="C8" s="5" t="n">
        <v>1500000</v>
      </c>
      <c r="D8" s="5" t="n">
        <v>1500000</v>
      </c>
      <c r="E8" s="5" t="n">
        <v>1500000</v>
      </c>
      <c r="F8" s="5" t="n">
        <v>1500000</v>
      </c>
      <c r="G8" s="5" t="n">
        <v>1500000</v>
      </c>
      <c r="H8" s="5" t="n">
        <v>1500000</v>
      </c>
      <c r="I8" s="5" t="n">
        <v>1500000</v>
      </c>
      <c r="J8" s="5" t="n">
        <v>1500000</v>
      </c>
      <c r="K8" s="5" t="n">
        <v>1500000</v>
      </c>
      <c r="L8" s="5" t="n">
        <v>1500000</v>
      </c>
      <c r="M8" s="5" t="n">
        <v>1500000</v>
      </c>
      <c r="N8" s="6" t="n">
        <v>18000000</v>
      </c>
    </row>
    <row r="9">
      <c r="A9" t="inlineStr">
        <is>
          <t>Boshqa</t>
        </is>
      </c>
      <c r="B9" s="5" t="n">
        <v>500000</v>
      </c>
      <c r="C9" s="5" t="n">
        <v>500000</v>
      </c>
      <c r="D9" s="5" t="n">
        <v>500000</v>
      </c>
      <c r="E9" s="5" t="n">
        <v>500000</v>
      </c>
      <c r="F9" s="5" t="n">
        <v>500000</v>
      </c>
      <c r="G9" s="5" t="n">
        <v>500000</v>
      </c>
      <c r="H9" s="5" t="n">
        <v>500000</v>
      </c>
      <c r="I9" s="5" t="n">
        <v>500000</v>
      </c>
      <c r="J9" s="5" t="n">
        <v>500000</v>
      </c>
      <c r="K9" s="5" t="n">
        <v>500000</v>
      </c>
      <c r="L9" s="5" t="n">
        <v>500000</v>
      </c>
      <c r="M9" s="5" t="n">
        <v>500000</v>
      </c>
      <c r="N9" s="6" t="n">
        <v>6000000</v>
      </c>
    </row>
    <row r="10">
      <c r="A10" s="7" t="inlineStr">
        <is>
          <t>JAMI OPEX</t>
        </is>
      </c>
      <c r="B10" s="8" t="n">
        <v>42700000</v>
      </c>
      <c r="C10" s="8" t="n">
        <v>42700000</v>
      </c>
      <c r="D10" s="8" t="n">
        <v>42700000</v>
      </c>
      <c r="E10" s="8" t="n">
        <v>42700000</v>
      </c>
      <c r="F10" s="8" t="n">
        <v>42700000</v>
      </c>
      <c r="G10" s="8" t="n">
        <v>42700000</v>
      </c>
      <c r="H10" s="8" t="n">
        <v>51700000</v>
      </c>
      <c r="I10" s="8" t="n">
        <v>51700000</v>
      </c>
      <c r="J10" s="8" t="n">
        <v>51700000</v>
      </c>
      <c r="K10" s="8" t="n">
        <v>51700000</v>
      </c>
      <c r="L10" s="8" t="n">
        <v>51700000</v>
      </c>
      <c r="M10" s="8" t="n">
        <v>51700000</v>
      </c>
      <c r="N10" s="6" t="n">
        <v>566400000</v>
      </c>
    </row>
    <row r="12">
      <c r="A12" t="inlineStr">
        <is>
          <t>COGS (tannarx)</t>
        </is>
      </c>
      <c r="B12" s="5" t="n">
        <v>12972322</v>
      </c>
      <c r="C12" s="5" t="n">
        <v>13242857</v>
      </c>
      <c r="D12" s="5" t="n">
        <v>14053125</v>
      </c>
      <c r="E12" s="5" t="n">
        <v>22208538</v>
      </c>
      <c r="F12" s="5" t="n">
        <v>30634486</v>
      </c>
      <c r="G12" s="5" t="n">
        <v>39060435</v>
      </c>
      <c r="H12" s="5" t="n">
        <v>47486384</v>
      </c>
      <c r="I12" s="5" t="n">
        <v>48567188</v>
      </c>
      <c r="J12" s="5" t="n">
        <v>49647991</v>
      </c>
      <c r="K12" s="5" t="n">
        <v>50728795</v>
      </c>
      <c r="L12" s="5" t="n">
        <v>51809598</v>
      </c>
      <c r="M12" s="5" t="n">
        <v>52890402</v>
      </c>
      <c r="N12" s="6" t="n">
        <v>433302121</v>
      </c>
    </row>
    <row r="13">
      <c r="A13" s="7" t="inlineStr">
        <is>
          <t>Brutto foyda</t>
        </is>
      </c>
      <c r="B13" s="8" t="n">
        <v>30268750</v>
      </c>
      <c r="C13" s="8" t="n">
        <v>30900000</v>
      </c>
      <c r="D13" s="8" t="n">
        <v>32790625</v>
      </c>
      <c r="E13" s="8" t="n">
        <v>43658650</v>
      </c>
      <c r="F13" s="8" t="n">
        <v>55157924</v>
      </c>
      <c r="G13" s="8" t="n">
        <v>66657199</v>
      </c>
      <c r="H13" s="8" t="n">
        <v>78156474</v>
      </c>
      <c r="I13" s="8" t="n">
        <v>80678348</v>
      </c>
      <c r="J13" s="8" t="n">
        <v>83200224</v>
      </c>
      <c r="K13" s="8" t="n">
        <v>85722098</v>
      </c>
      <c r="L13" s="8" t="n">
        <v>88243974</v>
      </c>
      <c r="M13" s="8" t="n">
        <v>90765848</v>
      </c>
      <c r="N13" s="6" t="n">
        <v>766200114</v>
      </c>
    </row>
    <row r="14">
      <c r="A14" t="inlineStr">
        <is>
          <t>Brutto marja (%)</t>
        </is>
      </c>
      <c r="B14" s="9" t="n">
        <v>70</v>
      </c>
      <c r="C14" s="9" t="n">
        <v>70</v>
      </c>
      <c r="D14" s="9" t="n">
        <v>70</v>
      </c>
      <c r="E14" s="9" t="n">
        <v>66.3</v>
      </c>
      <c r="F14" s="9" t="n">
        <v>64.3</v>
      </c>
      <c r="G14" s="9" t="n">
        <v>63.1</v>
      </c>
      <c r="H14" s="9" t="n">
        <v>62.2</v>
      </c>
      <c r="I14" s="9" t="n">
        <v>62.4</v>
      </c>
      <c r="J14" s="9" t="n">
        <v>62.6</v>
      </c>
      <c r="K14" s="9" t="n">
        <v>62.8</v>
      </c>
      <c r="L14" s="9" t="n">
        <v>63</v>
      </c>
      <c r="M14" s="9" t="n">
        <v>63.2</v>
      </c>
      <c r="N14" s="10" t="n">
        <v>63.9</v>
      </c>
    </row>
  </sheetData>
  <mergeCells count="1"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22" customHeight="1">
      <c r="A1" s="1" t="inlineStr">
        <is>
          <t>5. AYLANMA MABLAG' — investitsiyaning to'liq taqsimoti</t>
        </is>
      </c>
    </row>
    <row r="3">
      <c r="A3" s="2" t="inlineStr">
        <is>
          <t>Ko'rsatkich (UZS)</t>
        </is>
      </c>
      <c r="B3" s="3" t="inlineStr">
        <is>
          <t>Sep'26</t>
        </is>
      </c>
      <c r="C3" s="3" t="inlineStr">
        <is>
          <t>Oct'26</t>
        </is>
      </c>
      <c r="D3" s="3" t="inlineStr">
        <is>
          <t>Nov'26</t>
        </is>
      </c>
      <c r="E3" s="3" t="inlineStr">
        <is>
          <t>Dec'26</t>
        </is>
      </c>
      <c r="F3" s="3" t="inlineStr">
        <is>
          <t>Jan'27</t>
        </is>
      </c>
      <c r="G3" s="3" t="inlineStr">
        <is>
          <t>Feb'27</t>
        </is>
      </c>
      <c r="H3" s="3" t="inlineStr">
        <is>
          <t>Mar'27</t>
        </is>
      </c>
      <c r="I3" s="3" t="inlineStr">
        <is>
          <t>Apr'27</t>
        </is>
      </c>
      <c r="J3" s="3" t="inlineStr">
        <is>
          <t>May'27</t>
        </is>
      </c>
      <c r="K3" s="3" t="inlineStr">
        <is>
          <t>Jun'27</t>
        </is>
      </c>
      <c r="L3" s="3" t="inlineStr">
        <is>
          <t>Jul'27</t>
        </is>
      </c>
      <c r="M3" s="3" t="inlineStr">
        <is>
          <t>Aug'27</t>
        </is>
      </c>
      <c r="N3" s="4" t="inlineStr">
        <is>
          <t>JAMI</t>
        </is>
      </c>
    </row>
    <row r="4">
      <c r="A4" t="inlineStr">
        <is>
          <t>Investitsiya kirimi</t>
        </is>
      </c>
      <c r="B4" s="5" t="n">
        <v>455000000</v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6" t="n">
        <v>455000000</v>
      </c>
    </row>
    <row r="5">
      <c r="A5" t="inlineStr">
        <is>
          <t>Mijozlardan tushum (QQS bilan)</t>
        </is>
      </c>
      <c r="B5" s="5" t="n">
        <v>48430000</v>
      </c>
      <c r="C5" s="5" t="n">
        <v>49440000</v>
      </c>
      <c r="D5" s="5" t="n">
        <v>52465000</v>
      </c>
      <c r="E5" s="5" t="n">
        <v>73771250</v>
      </c>
      <c r="F5" s="5" t="n">
        <v>96087500</v>
      </c>
      <c r="G5" s="5" t="n">
        <v>118403750</v>
      </c>
      <c r="H5" s="5" t="n">
        <v>140720000</v>
      </c>
      <c r="I5" s="5" t="n">
        <v>144755000</v>
      </c>
      <c r="J5" s="5" t="n">
        <v>148790000</v>
      </c>
      <c r="K5" s="5" t="n">
        <v>152825000</v>
      </c>
      <c r="L5" s="5" t="n">
        <v>156860000</v>
      </c>
      <c r="M5" s="5" t="n">
        <v>160895000</v>
      </c>
      <c r="N5" s="6" t="n">
        <v>1343442500</v>
      </c>
    </row>
    <row r="6">
      <c r="A6" s="7" t="inlineStr">
        <is>
          <t>JAMI KIRIM</t>
        </is>
      </c>
      <c r="B6" s="8" t="n">
        <v>503430000</v>
      </c>
      <c r="C6" s="8" t="n">
        <v>49440000</v>
      </c>
      <c r="D6" s="8" t="n">
        <v>52465000</v>
      </c>
      <c r="E6" s="8" t="n">
        <v>73771250</v>
      </c>
      <c r="F6" s="8" t="n">
        <v>96087500</v>
      </c>
      <c r="G6" s="8" t="n">
        <v>118403750</v>
      </c>
      <c r="H6" s="8" t="n">
        <v>140720000</v>
      </c>
      <c r="I6" s="8" t="n">
        <v>144755000</v>
      </c>
      <c r="J6" s="8" t="n">
        <v>148790000</v>
      </c>
      <c r="K6" s="8" t="n">
        <v>152825000</v>
      </c>
      <c r="L6" s="8" t="n">
        <v>156860000</v>
      </c>
      <c r="M6" s="8" t="n">
        <v>160895000</v>
      </c>
      <c r="N6" s="6" t="n">
        <v>1798442500</v>
      </c>
    </row>
    <row r="8">
      <c r="A8" t="inlineStr">
        <is>
          <t>CAPEX (uskunalar)</t>
        </is>
      </c>
      <c r="B8" s="5" t="n">
        <v>207779000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5" t="n">
        <v>0</v>
      </c>
      <c r="N8" s="6" t="n">
        <v>207779000</v>
      </c>
    </row>
    <row r="9">
      <c r="A9" t="inlineStr">
        <is>
          <t>Bino tayyorlash</t>
        </is>
      </c>
      <c r="B9" s="5" t="n">
        <v>49790000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6" t="n">
        <v>49790000</v>
      </c>
    </row>
    <row r="10">
      <c r="A10" t="inlineStr">
        <is>
          <t>COGS (xarid, tannarx)</t>
        </is>
      </c>
      <c r="B10" s="5" t="n">
        <v>12972322</v>
      </c>
      <c r="C10" s="5" t="n">
        <v>13242857</v>
      </c>
      <c r="D10" s="5" t="n">
        <v>14053125</v>
      </c>
      <c r="E10" s="5" t="n">
        <v>22208538</v>
      </c>
      <c r="F10" s="5" t="n">
        <v>30634486</v>
      </c>
      <c r="G10" s="5" t="n">
        <v>39060435</v>
      </c>
      <c r="H10" s="5" t="n">
        <v>47486384</v>
      </c>
      <c r="I10" s="5" t="n">
        <v>48567188</v>
      </c>
      <c r="J10" s="5" t="n">
        <v>49647991</v>
      </c>
      <c r="K10" s="5" t="n">
        <v>50728795</v>
      </c>
      <c r="L10" s="5" t="n">
        <v>51809598</v>
      </c>
      <c r="M10" s="5" t="n">
        <v>52890402</v>
      </c>
      <c r="N10" s="6" t="n">
        <v>433302121</v>
      </c>
    </row>
    <row r="11">
      <c r="A11" t="inlineStr">
        <is>
          <t>OPEX</t>
        </is>
      </c>
      <c r="B11" s="5" t="n">
        <v>42700000</v>
      </c>
      <c r="C11" s="5" t="n">
        <v>42700000</v>
      </c>
      <c r="D11" s="5" t="n">
        <v>42700000</v>
      </c>
      <c r="E11" s="5" t="n">
        <v>42700000</v>
      </c>
      <c r="F11" s="5" t="n">
        <v>42700000</v>
      </c>
      <c r="G11" s="5" t="n">
        <v>42700000</v>
      </c>
      <c r="H11" s="5" t="n">
        <v>51700000</v>
      </c>
      <c r="I11" s="5" t="n">
        <v>51700000</v>
      </c>
      <c r="J11" s="5" t="n">
        <v>51700000</v>
      </c>
      <c r="K11" s="5" t="n">
        <v>51700000</v>
      </c>
      <c r="L11" s="5" t="n">
        <v>51700000</v>
      </c>
      <c r="M11" s="5" t="n">
        <v>51700000</v>
      </c>
      <c r="N11" s="6" t="n">
        <v>566400000</v>
      </c>
    </row>
    <row r="12">
      <c r="A12" t="inlineStr">
        <is>
          <t>QQS to'lovi</t>
        </is>
      </c>
      <c r="B12" s="5" t="n">
        <v>5188928</v>
      </c>
      <c r="C12" s="5" t="n">
        <v>5297143</v>
      </c>
      <c r="D12" s="5" t="n">
        <v>5621250</v>
      </c>
      <c r="E12" s="5" t="n">
        <v>7904062</v>
      </c>
      <c r="F12" s="5" t="n">
        <v>10295090</v>
      </c>
      <c r="G12" s="5" t="n">
        <v>12686116</v>
      </c>
      <c r="H12" s="5" t="n">
        <v>15077142</v>
      </c>
      <c r="I12" s="5" t="n">
        <v>15509464</v>
      </c>
      <c r="J12" s="5" t="n">
        <v>15941785</v>
      </c>
      <c r="K12" s="5" t="n">
        <v>16374107</v>
      </c>
      <c r="L12" s="5" t="n">
        <v>16806428</v>
      </c>
      <c r="M12" s="5" t="n">
        <v>17238750</v>
      </c>
      <c r="N12" s="6" t="n">
        <v>143940265</v>
      </c>
    </row>
    <row r="13">
      <c r="A13" t="inlineStr">
        <is>
          <t>Foyda solig'i</t>
        </is>
      </c>
      <c r="B13" s="5" t="n">
        <v>0</v>
      </c>
      <c r="C13" s="5" t="n">
        <v>0</v>
      </c>
      <c r="D13" s="5" t="n">
        <v>0</v>
      </c>
      <c r="E13" s="5" t="n">
        <v>0</v>
      </c>
      <c r="F13" s="5" t="n">
        <v>1079393</v>
      </c>
      <c r="G13" s="5" t="n">
        <v>2459306</v>
      </c>
      <c r="H13" s="5" t="n">
        <v>2759219</v>
      </c>
      <c r="I13" s="5" t="n">
        <v>3061844</v>
      </c>
      <c r="J13" s="5" t="n">
        <v>3364469</v>
      </c>
      <c r="K13" s="5" t="n">
        <v>3667094</v>
      </c>
      <c r="L13" s="5" t="n">
        <v>3969719</v>
      </c>
      <c r="M13" s="5" t="n">
        <v>4272344</v>
      </c>
      <c r="N13" s="6" t="n">
        <v>24633388</v>
      </c>
    </row>
    <row r="14">
      <c r="A14" s="7" t="inlineStr">
        <is>
          <t>JAMI CHIQIM</t>
        </is>
      </c>
      <c r="B14" s="8" t="n">
        <v>318430250</v>
      </c>
      <c r="C14" s="8" t="n">
        <v>61240000</v>
      </c>
      <c r="D14" s="8" t="n">
        <v>62374375</v>
      </c>
      <c r="E14" s="8" t="n">
        <v>72812600</v>
      </c>
      <c r="F14" s="8" t="n">
        <v>84708969</v>
      </c>
      <c r="G14" s="8" t="n">
        <v>96905857</v>
      </c>
      <c r="H14" s="8" t="n">
        <v>117022745</v>
      </c>
      <c r="I14" s="8" t="n">
        <v>118838496</v>
      </c>
      <c r="J14" s="8" t="n">
        <v>120654245</v>
      </c>
      <c r="K14" s="8" t="n">
        <v>122469996</v>
      </c>
      <c r="L14" s="8" t="n">
        <v>124285745</v>
      </c>
      <c r="M14" s="8" t="n">
        <v>126101496</v>
      </c>
      <c r="N14" s="6" t="n">
        <v>1425844774</v>
      </c>
    </row>
    <row r="16">
      <c r="A16" s="7" t="inlineStr">
        <is>
          <t>SOF PUL OQIMI</t>
        </is>
      </c>
      <c r="B16" s="8" t="n">
        <v>184999750</v>
      </c>
      <c r="C16" s="8" t="n">
        <v>-11800000</v>
      </c>
      <c r="D16" s="8" t="n">
        <v>-9909375</v>
      </c>
      <c r="E16" s="8" t="n">
        <v>958650</v>
      </c>
      <c r="F16" s="8" t="n">
        <v>11378531</v>
      </c>
      <c r="G16" s="8" t="n">
        <v>21497893</v>
      </c>
      <c r="H16" s="8" t="n">
        <v>23697255</v>
      </c>
      <c r="I16" s="8" t="n">
        <v>25916504</v>
      </c>
      <c r="J16" s="8" t="n">
        <v>28135755</v>
      </c>
      <c r="K16" s="8" t="n">
        <v>30355004</v>
      </c>
      <c r="L16" s="8" t="n">
        <v>32574255</v>
      </c>
      <c r="M16" s="8" t="n">
        <v>34793504</v>
      </c>
      <c r="N16" s="6" t="n">
        <v>372597726</v>
      </c>
    </row>
    <row r="17">
      <c r="A17" s="7" t="inlineStr">
        <is>
          <t>KASSA QOLDIG'I</t>
        </is>
      </c>
      <c r="B17" s="8" t="n">
        <v>189999750</v>
      </c>
      <c r="C17" s="8" t="n">
        <v>178199750</v>
      </c>
      <c r="D17" s="8" t="n">
        <v>168290375</v>
      </c>
      <c r="E17" s="8" t="n">
        <v>169249025</v>
      </c>
      <c r="F17" s="8" t="n">
        <v>180627556</v>
      </c>
      <c r="G17" s="8" t="n">
        <v>202125449</v>
      </c>
      <c r="H17" s="8" t="n">
        <v>225822704</v>
      </c>
      <c r="I17" s="8" t="n">
        <v>251739208</v>
      </c>
      <c r="J17" s="8" t="n">
        <v>279874963</v>
      </c>
      <c r="K17" s="8" t="n">
        <v>310229967</v>
      </c>
      <c r="L17" s="8" t="n">
        <v>342804222</v>
      </c>
      <c r="M17" s="8" t="n">
        <v>377597726</v>
      </c>
      <c r="N17" s="6" t="n">
        <v>377597726</v>
      </c>
    </row>
  </sheetData>
  <mergeCells count="1"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22" customHeight="1">
      <c r="A1" s="1" t="inlineStr">
        <is>
          <t>6. SOF FOYDA (P&amp;L)</t>
        </is>
      </c>
    </row>
    <row r="3">
      <c r="A3" s="2" t="inlineStr">
        <is>
          <t>P&amp;L (UZS)</t>
        </is>
      </c>
      <c r="B3" s="3" t="inlineStr">
        <is>
          <t>Sep'26</t>
        </is>
      </c>
      <c r="C3" s="3" t="inlineStr">
        <is>
          <t>Oct'26</t>
        </is>
      </c>
      <c r="D3" s="3" t="inlineStr">
        <is>
          <t>Nov'26</t>
        </is>
      </c>
      <c r="E3" s="3" t="inlineStr">
        <is>
          <t>Dec'26</t>
        </is>
      </c>
      <c r="F3" s="3" t="inlineStr">
        <is>
          <t>Jan'27</t>
        </is>
      </c>
      <c r="G3" s="3" t="inlineStr">
        <is>
          <t>Feb'27</t>
        </is>
      </c>
      <c r="H3" s="3" t="inlineStr">
        <is>
          <t>Mar'27</t>
        </is>
      </c>
      <c r="I3" s="3" t="inlineStr">
        <is>
          <t>Apr'27</t>
        </is>
      </c>
      <c r="J3" s="3" t="inlineStr">
        <is>
          <t>May'27</t>
        </is>
      </c>
      <c r="K3" s="3" t="inlineStr">
        <is>
          <t>Jun'27</t>
        </is>
      </c>
      <c r="L3" s="3" t="inlineStr">
        <is>
          <t>Jul'27</t>
        </is>
      </c>
      <c r="M3" s="3" t="inlineStr">
        <is>
          <t>Aug'27</t>
        </is>
      </c>
      <c r="N3" s="4" t="inlineStr">
        <is>
          <t>JAMI</t>
        </is>
      </c>
    </row>
    <row r="4">
      <c r="A4" t="inlineStr">
        <is>
          <t>Jami daromad (QQSsiz)</t>
        </is>
      </c>
      <c r="B4" s="5" t="n">
        <v>43241072</v>
      </c>
      <c r="C4" s="5" t="n">
        <v>44142857</v>
      </c>
      <c r="D4" s="5" t="n">
        <v>46843750</v>
      </c>
      <c r="E4" s="5" t="n">
        <v>65867188</v>
      </c>
      <c r="F4" s="5" t="n">
        <v>85792410</v>
      </c>
      <c r="G4" s="5" t="n">
        <v>105717634</v>
      </c>
      <c r="H4" s="5" t="n">
        <v>125642858</v>
      </c>
      <c r="I4" s="5" t="n">
        <v>129245536</v>
      </c>
      <c r="J4" s="5" t="n">
        <v>132848215</v>
      </c>
      <c r="K4" s="5" t="n">
        <v>136450893</v>
      </c>
      <c r="L4" s="5" t="n">
        <v>140053572</v>
      </c>
      <c r="M4" s="5" t="n">
        <v>143656250</v>
      </c>
      <c r="N4" s="6" t="n">
        <v>1199502235</v>
      </c>
    </row>
    <row r="5">
      <c r="A5" t="inlineStr">
        <is>
          <t>COGS</t>
        </is>
      </c>
      <c r="B5" s="5" t="n">
        <v>12972322</v>
      </c>
      <c r="C5" s="5" t="n">
        <v>13242857</v>
      </c>
      <c r="D5" s="5" t="n">
        <v>14053125</v>
      </c>
      <c r="E5" s="5" t="n">
        <v>22208538</v>
      </c>
      <c r="F5" s="5" t="n">
        <v>30634486</v>
      </c>
      <c r="G5" s="5" t="n">
        <v>39060435</v>
      </c>
      <c r="H5" s="5" t="n">
        <v>47486384</v>
      </c>
      <c r="I5" s="5" t="n">
        <v>48567188</v>
      </c>
      <c r="J5" s="5" t="n">
        <v>49647991</v>
      </c>
      <c r="K5" s="5" t="n">
        <v>50728795</v>
      </c>
      <c r="L5" s="5" t="n">
        <v>51809598</v>
      </c>
      <c r="M5" s="5" t="n">
        <v>52890402</v>
      </c>
      <c r="N5" s="6" t="n">
        <v>433302121</v>
      </c>
    </row>
    <row r="6">
      <c r="A6" s="7" t="inlineStr">
        <is>
          <t>BRUTTO FOYDA</t>
        </is>
      </c>
      <c r="B6" s="8" t="n">
        <v>30268750</v>
      </c>
      <c r="C6" s="8" t="n">
        <v>30900000</v>
      </c>
      <c r="D6" s="8" t="n">
        <v>32790625</v>
      </c>
      <c r="E6" s="8" t="n">
        <v>43658650</v>
      </c>
      <c r="F6" s="8" t="n">
        <v>55157924</v>
      </c>
      <c r="G6" s="8" t="n">
        <v>66657199</v>
      </c>
      <c r="H6" s="8" t="n">
        <v>78156474</v>
      </c>
      <c r="I6" s="8" t="n">
        <v>80678348</v>
      </c>
      <c r="J6" s="8" t="n">
        <v>83200224</v>
      </c>
      <c r="K6" s="8" t="n">
        <v>85722098</v>
      </c>
      <c r="L6" s="8" t="n">
        <v>88243974</v>
      </c>
      <c r="M6" s="8" t="n">
        <v>90765848</v>
      </c>
      <c r="N6" s="6" t="n">
        <v>766200114</v>
      </c>
    </row>
    <row r="7">
      <c r="A7" t="inlineStr">
        <is>
          <t>OPEX</t>
        </is>
      </c>
      <c r="B7" s="5" t="n">
        <v>42700000</v>
      </c>
      <c r="C7" s="5" t="n">
        <v>42700000</v>
      </c>
      <c r="D7" s="5" t="n">
        <v>42700000</v>
      </c>
      <c r="E7" s="5" t="n">
        <v>42700000</v>
      </c>
      <c r="F7" s="5" t="n">
        <v>42700000</v>
      </c>
      <c r="G7" s="5" t="n">
        <v>42700000</v>
      </c>
      <c r="H7" s="5" t="n">
        <v>51700000</v>
      </c>
      <c r="I7" s="5" t="n">
        <v>51700000</v>
      </c>
      <c r="J7" s="5" t="n">
        <v>51700000</v>
      </c>
      <c r="K7" s="5" t="n">
        <v>51700000</v>
      </c>
      <c r="L7" s="5" t="n">
        <v>51700000</v>
      </c>
      <c r="M7" s="5" t="n">
        <v>51700000</v>
      </c>
      <c r="N7" s="6" t="n">
        <v>566400000</v>
      </c>
    </row>
    <row r="8">
      <c r="A8" s="7" t="inlineStr">
        <is>
          <t>EBITDA</t>
        </is>
      </c>
      <c r="B8" s="8" t="n">
        <v>-12431250</v>
      </c>
      <c r="C8" s="8" t="n">
        <v>-11800000</v>
      </c>
      <c r="D8" s="8" t="n">
        <v>-9909375</v>
      </c>
      <c r="E8" s="8" t="n">
        <v>958650</v>
      </c>
      <c r="F8" s="8" t="n">
        <v>12457924</v>
      </c>
      <c r="G8" s="8" t="n">
        <v>23957199</v>
      </c>
      <c r="H8" s="8" t="n">
        <v>26456474</v>
      </c>
      <c r="I8" s="8" t="n">
        <v>28978348</v>
      </c>
      <c r="J8" s="8" t="n">
        <v>31500224</v>
      </c>
      <c r="K8" s="8" t="n">
        <v>34022098</v>
      </c>
      <c r="L8" s="8" t="n">
        <v>36543974</v>
      </c>
      <c r="M8" s="8" t="n">
        <v>39065848</v>
      </c>
      <c r="N8" s="6" t="n">
        <v>199800114</v>
      </c>
    </row>
    <row r="9">
      <c r="A9" t="inlineStr">
        <is>
          <t>Amortizatsiya</t>
        </is>
      </c>
      <c r="B9" s="5" t="n">
        <v>0</v>
      </c>
      <c r="C9" s="5" t="n">
        <v>0</v>
      </c>
      <c r="D9" s="5" t="n">
        <v>0</v>
      </c>
      <c r="E9" s="5" t="n">
        <v>3462983</v>
      </c>
      <c r="F9" s="5" t="n">
        <v>3462983</v>
      </c>
      <c r="G9" s="5" t="n">
        <v>3462983</v>
      </c>
      <c r="H9" s="5" t="n">
        <v>3462983</v>
      </c>
      <c r="I9" s="5" t="n">
        <v>3462983</v>
      </c>
      <c r="J9" s="5" t="n">
        <v>3462983</v>
      </c>
      <c r="K9" s="5" t="n">
        <v>3462983</v>
      </c>
      <c r="L9" s="5" t="n">
        <v>3462983</v>
      </c>
      <c r="M9" s="5" t="n">
        <v>3462983</v>
      </c>
      <c r="N9" s="6" t="n">
        <v>31166847</v>
      </c>
    </row>
    <row r="10">
      <c r="A10" t="inlineStr">
        <is>
          <t>Operatsion foyda (EBIT)</t>
        </is>
      </c>
      <c r="B10" s="5" t="n">
        <v>-12431250</v>
      </c>
      <c r="C10" s="5" t="n">
        <v>-11800000</v>
      </c>
      <c r="D10" s="5" t="n">
        <v>-9909375</v>
      </c>
      <c r="E10" s="5" t="n">
        <v>-2504333</v>
      </c>
      <c r="F10" s="5" t="n">
        <v>8994941</v>
      </c>
      <c r="G10" s="5" t="n">
        <v>20494216</v>
      </c>
      <c r="H10" s="5" t="n">
        <v>22993491</v>
      </c>
      <c r="I10" s="5" t="n">
        <v>25515365</v>
      </c>
      <c r="J10" s="5" t="n">
        <v>28037241</v>
      </c>
      <c r="K10" s="5" t="n">
        <v>30559115</v>
      </c>
      <c r="L10" s="5" t="n">
        <v>33080991</v>
      </c>
      <c r="M10" s="5" t="n">
        <v>35602865</v>
      </c>
      <c r="N10" s="6" t="n">
        <v>168633267</v>
      </c>
    </row>
    <row r="11">
      <c r="A11" t="inlineStr">
        <is>
          <t>Foyda solig'i (12%)</t>
        </is>
      </c>
      <c r="B11" s="5" t="n">
        <v>0</v>
      </c>
      <c r="C11" s="5" t="n">
        <v>0</v>
      </c>
      <c r="D11" s="5" t="n">
        <v>0</v>
      </c>
      <c r="E11" s="5" t="n">
        <v>0</v>
      </c>
      <c r="F11" s="5" t="n">
        <v>1079393</v>
      </c>
      <c r="G11" s="5" t="n">
        <v>2459306</v>
      </c>
      <c r="H11" s="5" t="n">
        <v>2759219</v>
      </c>
      <c r="I11" s="5" t="n">
        <v>3061844</v>
      </c>
      <c r="J11" s="5" t="n">
        <v>3364469</v>
      </c>
      <c r="K11" s="5" t="n">
        <v>3667094</v>
      </c>
      <c r="L11" s="5" t="n">
        <v>3969719</v>
      </c>
      <c r="M11" s="5" t="n">
        <v>4272344</v>
      </c>
      <c r="N11" s="6" t="n">
        <v>24633388</v>
      </c>
    </row>
    <row r="12">
      <c r="A12" s="7" t="inlineStr">
        <is>
          <t>SOF FOYDA</t>
        </is>
      </c>
      <c r="B12" s="8" t="n">
        <v>-12431250</v>
      </c>
      <c r="C12" s="8" t="n">
        <v>-11800000</v>
      </c>
      <c r="D12" s="8" t="n">
        <v>-9909375</v>
      </c>
      <c r="E12" s="8" t="n">
        <v>-2504333</v>
      </c>
      <c r="F12" s="8" t="n">
        <v>7915548</v>
      </c>
      <c r="G12" s="8" t="n">
        <v>18034910</v>
      </c>
      <c r="H12" s="8" t="n">
        <v>20234272</v>
      </c>
      <c r="I12" s="8" t="n">
        <v>22453521</v>
      </c>
      <c r="J12" s="8" t="n">
        <v>24672772</v>
      </c>
      <c r="K12" s="8" t="n">
        <v>26892021</v>
      </c>
      <c r="L12" s="8" t="n">
        <v>29111272</v>
      </c>
      <c r="M12" s="8" t="n">
        <v>31330521</v>
      </c>
      <c r="N12" s="6" t="n">
        <v>143999879</v>
      </c>
    </row>
    <row r="13">
      <c r="A13" t="inlineStr">
        <is>
          <t>Sof marja (%)</t>
        </is>
      </c>
      <c r="B13" s="9" t="n">
        <v>-28.7</v>
      </c>
      <c r="C13" s="9" t="n">
        <v>-26.7</v>
      </c>
      <c r="D13" s="9" t="n">
        <v>-21.2</v>
      </c>
      <c r="E13" s="9" t="n">
        <v>-3.8</v>
      </c>
      <c r="F13" s="9" t="n">
        <v>9.199999999999999</v>
      </c>
      <c r="G13" s="9" t="n">
        <v>17.1</v>
      </c>
      <c r="H13" s="9" t="n">
        <v>16.1</v>
      </c>
      <c r="I13" s="9" t="n">
        <v>17.4</v>
      </c>
      <c r="J13" s="9" t="n">
        <v>18.6</v>
      </c>
      <c r="K13" s="9" t="n">
        <v>19.7</v>
      </c>
      <c r="L13" s="9" t="n">
        <v>20.8</v>
      </c>
      <c r="M13" s="9" t="n">
        <v>21.8</v>
      </c>
      <c r="N13" s="10" t="n">
        <v>12</v>
      </c>
    </row>
    <row r="15">
      <c r="A15" t="inlineStr">
        <is>
          <t>Kumulyativ sof foyda</t>
        </is>
      </c>
      <c r="B15" s="5" t="n">
        <v>-12431250</v>
      </c>
      <c r="C15" s="5" t="n">
        <v>-24231250</v>
      </c>
      <c r="D15" s="5" t="n">
        <v>-34140625</v>
      </c>
      <c r="E15" s="5" t="n">
        <v>-36644958</v>
      </c>
      <c r="F15" s="5" t="n">
        <v>-28729410</v>
      </c>
      <c r="G15" s="5" t="n">
        <v>-10694500</v>
      </c>
      <c r="H15" s="5" t="n">
        <v>9539772</v>
      </c>
      <c r="I15" s="5" t="n">
        <v>31993293</v>
      </c>
      <c r="J15" s="5" t="n">
        <v>56666065</v>
      </c>
      <c r="K15" s="5" t="n">
        <v>83558086</v>
      </c>
      <c r="L15" s="5" t="n">
        <v>112669358</v>
      </c>
      <c r="M15" s="5" t="n">
        <v>143999879</v>
      </c>
      <c r="N15" s="6" t="n">
        <v>143999879</v>
      </c>
    </row>
  </sheetData>
  <mergeCells count="1"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22" customHeight="1">
      <c r="A1" s="1" t="inlineStr">
        <is>
          <t>7. STARTAP KO'RSATKICHLARI</t>
        </is>
      </c>
    </row>
    <row r="3">
      <c r="A3" s="2" t="inlineStr">
        <is>
          <t>Metrika</t>
        </is>
      </c>
      <c r="B3" s="3" t="inlineStr">
        <is>
          <t>Sep'26</t>
        </is>
      </c>
      <c r="C3" s="3" t="inlineStr">
        <is>
          <t>Oct'26</t>
        </is>
      </c>
      <c r="D3" s="3" t="inlineStr">
        <is>
          <t>Nov'26</t>
        </is>
      </c>
      <c r="E3" s="3" t="inlineStr">
        <is>
          <t>Dec'26</t>
        </is>
      </c>
      <c r="F3" s="3" t="inlineStr">
        <is>
          <t>Jan'27</t>
        </is>
      </c>
      <c r="G3" s="3" t="inlineStr">
        <is>
          <t>Feb'27</t>
        </is>
      </c>
      <c r="H3" s="3" t="inlineStr">
        <is>
          <t>Mar'27</t>
        </is>
      </c>
      <c r="I3" s="3" t="inlineStr">
        <is>
          <t>Apr'27</t>
        </is>
      </c>
      <c r="J3" s="3" t="inlineStr">
        <is>
          <t>May'27</t>
        </is>
      </c>
      <c r="K3" s="3" t="inlineStr">
        <is>
          <t>Jun'27</t>
        </is>
      </c>
      <c r="L3" s="3" t="inlineStr">
        <is>
          <t>Jul'27</t>
        </is>
      </c>
      <c r="M3" s="3" t="inlineStr">
        <is>
          <t>Aug'27</t>
        </is>
      </c>
      <c r="N3" s="4" t="inlineStr">
        <is>
          <t>O'rtacha</t>
        </is>
      </c>
    </row>
    <row r="4">
      <c r="A4" t="inlineStr">
        <is>
          <t>MRR</t>
        </is>
      </c>
      <c r="B4" s="5" t="n">
        <v>19446429</v>
      </c>
      <c r="C4" s="5" t="n">
        <v>19767857</v>
      </c>
      <c r="D4" s="5" t="n">
        <v>21308036</v>
      </c>
      <c r="E4" s="5" t="n">
        <v>22848214</v>
      </c>
      <c r="F4" s="5" t="n">
        <v>24709821</v>
      </c>
      <c r="G4" s="5" t="n">
        <v>26571429</v>
      </c>
      <c r="H4" s="5" t="n">
        <v>28433036</v>
      </c>
      <c r="I4" s="5" t="n">
        <v>30294643</v>
      </c>
      <c r="J4" s="5" t="n">
        <v>32156250</v>
      </c>
      <c r="K4" s="5" t="n">
        <v>34017857</v>
      </c>
      <c r="L4" s="5" t="n">
        <v>35879464</v>
      </c>
      <c r="M4" s="5" t="n">
        <v>37741071</v>
      </c>
      <c r="N4" s="6" t="n">
        <v>37741071</v>
      </c>
    </row>
    <row r="5">
      <c r="A5" t="inlineStr">
        <is>
          <t>ARR</t>
        </is>
      </c>
      <c r="B5" s="5" t="n">
        <v>233357148</v>
      </c>
      <c r="C5" s="5" t="n">
        <v>237214284</v>
      </c>
      <c r="D5" s="5" t="n">
        <v>255696432</v>
      </c>
      <c r="E5" s="5" t="n">
        <v>274178568</v>
      </c>
      <c r="F5" s="5" t="n">
        <v>296517852</v>
      </c>
      <c r="G5" s="5" t="n">
        <v>318857148</v>
      </c>
      <c r="H5" s="5" t="n">
        <v>341196432</v>
      </c>
      <c r="I5" s="5" t="n">
        <v>363535716</v>
      </c>
      <c r="J5" s="5" t="n">
        <v>385875000</v>
      </c>
      <c r="K5" s="5" t="n">
        <v>408214284</v>
      </c>
      <c r="L5" s="5" t="n">
        <v>430553568</v>
      </c>
      <c r="M5" s="5" t="n">
        <v>452892852</v>
      </c>
      <c r="N5" s="6" t="n">
        <v>452892852</v>
      </c>
    </row>
    <row r="6">
      <c r="A6" t="inlineStr">
        <is>
          <t>ARPU</t>
        </is>
      </c>
      <c r="B6" s="5" t="n">
        <v>1601521</v>
      </c>
      <c r="C6" s="5" t="n">
        <v>1576531</v>
      </c>
      <c r="D6" s="5" t="n">
        <v>1561458</v>
      </c>
      <c r="E6" s="5" t="n">
        <v>2058350</v>
      </c>
      <c r="F6" s="5" t="n">
        <v>2451212</v>
      </c>
      <c r="G6" s="5" t="n">
        <v>2782043</v>
      </c>
      <c r="H6" s="5" t="n">
        <v>3064460</v>
      </c>
      <c r="I6" s="5" t="n">
        <v>2937399</v>
      </c>
      <c r="J6" s="5" t="n">
        <v>2826558</v>
      </c>
      <c r="K6" s="5" t="n">
        <v>2729018</v>
      </c>
      <c r="L6" s="5" t="n">
        <v>2642520</v>
      </c>
      <c r="M6" s="5" t="n">
        <v>2565290</v>
      </c>
      <c r="N6" s="6" t="n">
        <v>2399697</v>
      </c>
    </row>
    <row r="7">
      <c r="A7" t="inlineStr">
        <is>
          <t>CAC</t>
        </is>
      </c>
      <c r="B7" s="5" t="inlineStr">
        <is>
          <t>—</t>
        </is>
      </c>
      <c r="C7" s="5" t="n">
        <v>10300000</v>
      </c>
      <c r="D7" s="5" t="n">
        <v>5150000</v>
      </c>
      <c r="E7" s="5" t="n">
        <v>5150000</v>
      </c>
      <c r="F7" s="5" t="n">
        <v>3433333</v>
      </c>
      <c r="G7" s="5" t="n">
        <v>3433333</v>
      </c>
      <c r="H7" s="5" t="n">
        <v>3433333</v>
      </c>
      <c r="I7" s="5" t="n">
        <v>3433333</v>
      </c>
      <c r="J7" s="5" t="n">
        <v>3433333</v>
      </c>
      <c r="K7" s="5" t="n">
        <v>3433333</v>
      </c>
      <c r="L7" s="5" t="n">
        <v>3433333</v>
      </c>
      <c r="M7" s="5" t="n">
        <v>3433333</v>
      </c>
      <c r="N7" s="6" t="n">
        <v>4369697</v>
      </c>
    </row>
    <row r="8">
      <c r="A8" t="inlineStr">
        <is>
          <t>LTV</t>
        </is>
      </c>
      <c r="B8" s="5" t="n">
        <v>13452776</v>
      </c>
      <c r="C8" s="5" t="n">
        <v>13242860</v>
      </c>
      <c r="D8" s="5" t="n">
        <v>13116247</v>
      </c>
      <c r="E8" s="5" t="n">
        <v>16371997</v>
      </c>
      <c r="F8" s="5" t="n">
        <v>18911290</v>
      </c>
      <c r="G8" s="5" t="n">
        <v>21049642</v>
      </c>
      <c r="H8" s="5" t="n">
        <v>22875066</v>
      </c>
      <c r="I8" s="5" t="n">
        <v>22003189</v>
      </c>
      <c r="J8" s="5" t="n">
        <v>21242612</v>
      </c>
      <c r="K8" s="5" t="n">
        <v>20573305</v>
      </c>
      <c r="L8" s="5" t="n">
        <v>19979766</v>
      </c>
      <c r="M8" s="5" t="n">
        <v>19449823</v>
      </c>
      <c r="N8" s="6" t="n">
        <v>18522381</v>
      </c>
    </row>
    <row r="9">
      <c r="A9" t="inlineStr">
        <is>
          <t>LTV/CAC</t>
        </is>
      </c>
      <c r="B9" s="9" t="inlineStr">
        <is>
          <t>—</t>
        </is>
      </c>
      <c r="C9" s="9" t="n">
        <v>1.3</v>
      </c>
      <c r="D9" s="9" t="n">
        <v>2.5</v>
      </c>
      <c r="E9" s="9" t="n">
        <v>3.2</v>
      </c>
      <c r="F9" s="9" t="n">
        <v>5.5</v>
      </c>
      <c r="G9" s="9" t="n">
        <v>6.1</v>
      </c>
      <c r="H9" s="9" t="n">
        <v>6.7</v>
      </c>
      <c r="I9" s="9" t="n">
        <v>6.4</v>
      </c>
      <c r="J9" s="9" t="n">
        <v>6.2</v>
      </c>
      <c r="K9" s="9" t="n">
        <v>6</v>
      </c>
      <c r="L9" s="9" t="n">
        <v>5.8</v>
      </c>
      <c r="M9" s="9" t="n">
        <v>5.7</v>
      </c>
      <c r="N9" s="10" t="n">
        <v>5</v>
      </c>
    </row>
    <row r="11">
      <c r="A11" s="7" t="inlineStr">
        <is>
          <t>LTV = ARPU × brutto marja × mijoz umri</t>
        </is>
      </c>
    </row>
    <row r="12">
      <c r="A12" t="inlineStr">
        <is>
          <t>Mijoz umri = min(1/churn, 12 oy) = 12 oy — model gorizontidan uzoqroq daromad va'da qilinmaydi</t>
        </is>
      </c>
    </row>
    <row r="13">
      <c r="A13" t="inlineStr">
        <is>
          <t>CAC = (marketing + direktor ish haqining 40%) / yangi mijozlar — degustatsiyalarni direktor o'zi o'tkazadi</t>
        </is>
      </c>
    </row>
  </sheetData>
  <mergeCells count="1"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48" customWidth="1" min="3" max="3"/>
  </cols>
  <sheetData>
    <row r="1" ht="22" customHeight="1">
      <c r="A1" s="1" t="inlineStr">
        <is>
          <t>MICROGREEN AND STRAWBERRY — FIN MODEL XULOSA</t>
        </is>
      </c>
    </row>
    <row r="3">
      <c r="A3" s="13" t="inlineStr">
        <is>
          <t>INVESTITSIYA</t>
        </is>
      </c>
      <c r="B3" t="inlineStr"/>
      <c r="C3" t="inlineStr"/>
    </row>
    <row r="4">
      <c r="A4" t="inlineStr">
        <is>
          <t>So'ralayotgan summa</t>
        </is>
      </c>
      <c r="B4" t="inlineStr">
        <is>
          <t>$35,000</t>
        </is>
      </c>
      <c r="C4" t="inlineStr">
        <is>
          <t>455,000,000 UZS</t>
        </is>
      </c>
    </row>
    <row r="5">
      <c r="A5" t="inlineStr">
        <is>
          <t xml:space="preserve">  — moddalar</t>
        </is>
      </c>
      <c r="B5" t="inlineStr">
        <is>
          <t>$30,000</t>
        </is>
      </c>
      <c r="C5" t="inlineStr">
        <is>
          <t>390,000,000 UZS</t>
        </is>
      </c>
    </row>
    <row r="6">
      <c r="A6" t="inlineStr">
        <is>
          <t xml:space="preserve">  — zaxira</t>
        </is>
      </c>
      <c r="B6" t="inlineStr">
        <is>
          <t>$5,000</t>
        </is>
      </c>
      <c r="C6" t="inlineStr">
        <is>
          <t>65,000,000 UZS</t>
        </is>
      </c>
    </row>
    <row r="7">
      <c r="A7" t="inlineStr">
        <is>
          <t>Valyuta kursi</t>
        </is>
      </c>
      <c r="B7" t="inlineStr">
        <is>
          <t>13,000 UZS/$</t>
        </is>
      </c>
      <c r="C7" t="inlineStr"/>
    </row>
    <row r="8">
      <c r="A8" t="inlineStr">
        <is>
          <t>CAPEX (amortizatsiya bazasi)</t>
        </is>
      </c>
      <c r="B8" t="inlineStr">
        <is>
          <t>207,779,000 UZS</t>
        </is>
      </c>
      <c r="C8" t="inlineStr">
        <is>
          <t>60 oyda amortizatsiya</t>
        </is>
      </c>
    </row>
    <row r="9">
      <c r="A9" t="inlineStr"/>
      <c r="B9" t="inlineStr"/>
      <c r="C9" t="inlineStr"/>
    </row>
    <row r="10">
      <c r="A10" t="inlineStr">
        <is>
          <t>DAVR</t>
        </is>
      </c>
      <c r="B10" t="inlineStr">
        <is>
          <t>Sep'26 — Aug'27</t>
        </is>
      </c>
      <c r="C10" t="inlineStr">
        <is>
          <t>12 oy</t>
        </is>
      </c>
    </row>
    <row r="11">
      <c r="A11" t="inlineStr">
        <is>
          <t>Boshlang'ich baza (M1)</t>
        </is>
      </c>
      <c r="B11" t="inlineStr">
        <is>
          <t>48,430,000 UZS/oy</t>
        </is>
      </c>
      <c r="C11" t="inlineStr">
        <is>
          <t>12 restoran + 15 oila obuna + ~205 chakana xarid — FAKT, QQS bilan</t>
        </is>
      </c>
    </row>
    <row r="12">
      <c r="A12" t="inlineStr">
        <is>
          <t xml:space="preserve">  — QQSsiz daromad</t>
        </is>
      </c>
      <c r="B12" t="inlineStr">
        <is>
          <t>43,241,072 UZS/oy</t>
        </is>
      </c>
      <c r="C12" t="inlineStr">
        <is>
          <t>P&amp;L shu summadan hisoblanadi</t>
        </is>
      </c>
    </row>
    <row r="13">
      <c r="A13" t="inlineStr">
        <is>
          <t>Soliq rejimi</t>
        </is>
      </c>
      <c r="B13" t="inlineStr">
        <is>
          <t>umumiy: QQS 12%</t>
        </is>
      </c>
      <c r="C13" t="inlineStr">
        <is>
          <t>foyda solig'i 12% — aylanma solig'i emas</t>
        </is>
      </c>
    </row>
    <row r="14">
      <c r="A14" t="inlineStr">
        <is>
          <t>Asoschi allaqachon kiritgan</t>
        </is>
      </c>
      <c r="B14" t="inlineStr">
        <is>
          <t>$50,000</t>
        </is>
      </c>
      <c r="C14" t="inlineStr">
        <is>
          <t>shaxsiy mablag', tashqi investitsiyasiz</t>
        </is>
      </c>
    </row>
    <row r="15">
      <c r="A15" t="inlineStr"/>
      <c r="B15" t="inlineStr"/>
      <c r="C15" t="inlineStr"/>
    </row>
    <row r="16">
      <c r="A16" s="13" t="inlineStr">
        <is>
          <t>DAROMAD</t>
        </is>
      </c>
      <c r="B16" t="inlineStr"/>
      <c r="C16" t="inlineStr"/>
    </row>
    <row r="17">
      <c r="A17" t="inlineStr">
        <is>
          <t>Jami daromad</t>
        </is>
      </c>
      <c r="B17" t="inlineStr">
        <is>
          <t>1,199,502,235 UZS</t>
        </is>
      </c>
      <c r="C17" t="inlineStr">
        <is>
          <t>$92,269</t>
        </is>
      </c>
    </row>
    <row r="18">
      <c r="A18" t="inlineStr">
        <is>
          <t>Oxirgi oy daromadi</t>
        </is>
      </c>
      <c r="B18" t="inlineStr">
        <is>
          <t>143,656,250 UZS</t>
        </is>
      </c>
      <c r="C18" t="inlineStr">
        <is>
          <t>$11,050</t>
        </is>
      </c>
    </row>
    <row r="19">
      <c r="A19" t="inlineStr">
        <is>
          <t>MRR (oxirgi oy)</t>
        </is>
      </c>
      <c r="B19" t="inlineStr">
        <is>
          <t>37,741,071 UZS</t>
        </is>
      </c>
      <c r="C19" t="inlineStr"/>
    </row>
    <row r="20">
      <c r="A20" t="inlineStr">
        <is>
          <t>ARR (oxirgi oy)</t>
        </is>
      </c>
      <c r="B20" t="inlineStr">
        <is>
          <t>452,892,852 UZS</t>
        </is>
      </c>
      <c r="C20" t="inlineStr">
        <is>
          <t>$34,838</t>
        </is>
      </c>
    </row>
    <row r="21">
      <c r="A21" t="inlineStr"/>
      <c r="B21" t="inlineStr"/>
      <c r="C21" t="inlineStr"/>
    </row>
    <row r="22">
      <c r="A22" s="13" t="inlineStr">
        <is>
          <t>FOYDA</t>
        </is>
      </c>
      <c r="B22" t="inlineStr"/>
      <c r="C22" t="inlineStr"/>
    </row>
    <row r="23">
      <c r="A23" t="inlineStr">
        <is>
          <t>Jami sof foyda</t>
        </is>
      </c>
      <c r="B23" t="inlineStr">
        <is>
          <t>143,999,879 UZS</t>
        </is>
      </c>
      <c r="C23" t="inlineStr">
        <is>
          <t>$11,077</t>
        </is>
      </c>
    </row>
    <row r="24">
      <c r="A24" t="inlineStr">
        <is>
          <t>EBITDA marja (o'rtacha)</t>
        </is>
      </c>
      <c r="B24" t="inlineStr">
        <is>
          <t>16.7%</t>
        </is>
      </c>
      <c r="C24" t="inlineStr">
        <is>
          <t>soliqqacha</t>
        </is>
      </c>
    </row>
    <row r="25">
      <c r="A25" t="inlineStr">
        <is>
          <t>Break-even</t>
        </is>
      </c>
      <c r="B25" t="inlineStr">
        <is>
          <t>Jan'27</t>
        </is>
      </c>
      <c r="C25" t="inlineStr">
        <is>
          <t>birinchi ijobiy sof foydali oy</t>
        </is>
      </c>
    </row>
    <row r="26">
      <c r="A26" t="inlineStr">
        <is>
          <t>ROI (12 oy)</t>
        </is>
      </c>
      <c r="B26" t="inlineStr">
        <is>
          <t>32%</t>
        </is>
      </c>
      <c r="C26" t="inlineStr">
        <is>
          <t>transh kelgan kundan hisoblanadi</t>
        </is>
      </c>
    </row>
    <row r="27">
      <c r="A27" t="inlineStr"/>
      <c r="B27" t="inlineStr"/>
      <c r="C27" t="inlineStr"/>
    </row>
    <row r="28">
      <c r="A28" s="13" t="inlineStr">
        <is>
          <t>MIJOZLAR</t>
        </is>
      </c>
      <c r="B28" t="inlineStr"/>
      <c r="C28" t="inlineStr"/>
    </row>
    <row r="29">
      <c r="A29" t="inlineStr">
        <is>
          <t>Doimiy mijozlar (M12)</t>
        </is>
      </c>
      <c r="B29" t="inlineStr">
        <is>
          <t>56</t>
        </is>
      </c>
      <c r="C29" t="inlineStr">
        <is>
          <t>22 restoran + 34 oila obuna</t>
        </is>
      </c>
    </row>
    <row r="30">
      <c r="A30" t="inlineStr">
        <is>
          <t>Chakana xaridlar (M12)</t>
        </is>
      </c>
      <c r="B30" t="inlineStr">
        <is>
          <t>350/oy</t>
        </is>
      </c>
      <c r="C30" t="inlineStr">
        <is>
          <t>o'rtacha chek 130,000 so'm</t>
        </is>
      </c>
    </row>
    <row r="31">
      <c r="A31" t="inlineStr">
        <is>
          <t>Churn (oylik)</t>
        </is>
      </c>
      <c r="B31" t="inlineStr">
        <is>
          <t>2.5%</t>
        </is>
      </c>
      <c r="C31" t="inlineStr"/>
    </row>
    <row r="32">
      <c r="A32" t="inlineStr">
        <is>
          <t>LTV/CAC (o'rtacha)</t>
        </is>
      </c>
      <c r="B32" t="inlineStr">
        <is>
          <t>5.0x</t>
        </is>
      </c>
      <c r="C32" t="inlineStr">
        <is>
          <t>formula 7-varaqda</t>
        </is>
      </c>
    </row>
    <row r="33">
      <c r="A33" t="inlineStr"/>
      <c r="B33" t="inlineStr"/>
      <c r="C33" t="inlineStr"/>
    </row>
    <row r="34">
      <c r="A34" s="13" t="inlineStr">
        <is>
          <t>KASSA</t>
        </is>
      </c>
      <c r="B34" t="inlineStr"/>
      <c r="C34" t="inlineStr"/>
    </row>
    <row r="35">
      <c r="A35" t="inlineStr">
        <is>
          <t>Kassa qoldig'i (M12)</t>
        </is>
      </c>
      <c r="B35" t="inlineStr">
        <is>
          <t>377,597,726 UZS</t>
        </is>
      </c>
      <c r="C35" t="inlineStr">
        <is>
          <t>$29,046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2026-08-19T11:48:25Z</dcterms:created>
  <dcterms:modified xmlns:dcterms="http://purl.org/dc/terms/" xmlns:xsi="http://www.w3.org/2001/XMLSchema-instance" xsi:type="dcterms:W3CDTF">2026-08-19T11:48:25Z</dcterms:modified>
</cp:coreProperties>
</file>