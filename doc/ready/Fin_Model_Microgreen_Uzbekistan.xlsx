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1. Mijozlar" sheetId="1" state="visible" r:id="rId1"/>
    <sheet xmlns:r="http://schemas.openxmlformats.org/officeDocument/2006/relationships" name="2. Tariflar" sheetId="2" state="visible" r:id="rId2"/>
    <sheet xmlns:r="http://schemas.openxmlformats.org/officeDocument/2006/relationships" name="3. Daromad" sheetId="3" state="visible" r:id="rId3"/>
    <sheet xmlns:r="http://schemas.openxmlformats.org/officeDocument/2006/relationships" name="4. Xarajatlar" sheetId="4" state="visible" r:id="rId4"/>
    <sheet xmlns:r="http://schemas.openxmlformats.org/officeDocument/2006/relationships" name="5. Aylanma mablag'" sheetId="5" state="visible" r:id="rId5"/>
    <sheet xmlns:r="http://schemas.openxmlformats.org/officeDocument/2006/relationships" name="6. Sof foyda" sheetId="6" state="visible" r:id="rId6"/>
    <sheet xmlns:r="http://schemas.openxmlformats.org/officeDocument/2006/relationships" name="7. Startup KPI" sheetId="7" state="visible" r:id="rId7"/>
    <sheet xmlns:r="http://schemas.openxmlformats.org/officeDocument/2006/relationships" name="XULOSA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4">
    <font>
      <name val="Calibri"/>
      <family val="2"/>
      <color theme="1"/>
      <sz val="11"/>
      <scheme val="minor"/>
    </font>
    <font>
      <b val="1"/>
      <color rgb="00FFFFFF"/>
      <sz val="13"/>
    </font>
    <font>
      <b val="1"/>
      <sz val="10"/>
    </font>
    <font>
      <b val="1"/>
    </font>
  </fonts>
  <fills count="5">
    <fill>
      <patternFill/>
    </fill>
    <fill>
      <patternFill patternType="gray125"/>
    </fill>
    <fill>
      <patternFill patternType="solid">
        <fgColor rgb="001F6F43"/>
      </patternFill>
    </fill>
    <fill>
      <patternFill patternType="solid">
        <fgColor rgb="00D9EAD3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horizontal="center"/>
    </xf>
    <xf numFmtId="0" fontId="2" fillId="4" borderId="0" applyAlignment="1" pivotButton="0" quotePrefix="0" xfId="0">
      <alignment horizontal="center"/>
    </xf>
    <xf numFmtId="3" fontId="0" fillId="0" borderId="1" pivotButton="0" quotePrefix="0" xfId="0"/>
    <xf numFmtId="3" fontId="3" fillId="4" borderId="0" pivotButton="0" quotePrefix="0" xfId="0"/>
    <xf numFmtId="0" fontId="3" fillId="0" borderId="0" pivotButton="0" quotePrefix="0" xfId="0"/>
    <xf numFmtId="3" fontId="3" fillId="0" borderId="1" pivotButton="0" quotePrefix="0" xfId="0"/>
    <xf numFmtId="164" fontId="0" fillId="0" borderId="1" pivotButton="0" quotePrefix="0" xfId="0"/>
    <xf numFmtId="164" fontId="3" fillId="4" borderId="0" pivotButton="0" quotePrefix="0" xfId="0"/>
    <xf numFmtId="3" fontId="0" fillId="0" borderId="0" pivotButton="0" quotePrefix="0" xfId="0"/>
    <xf numFmtId="2" fontId="0" fillId="0" borderId="0" pivotButton="0" quotePrefix="0" xfId="0"/>
    <xf numFmtId="0" fontId="3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"/>
  <sheetViews>
    <sheetView workbookViewId="0">
      <selection activeCell="A1" sqref="A1"/>
    </sheetView>
  </sheetViews>
  <sheetFormatPr baseColWidth="8" defaultRowHeight="15"/>
  <cols>
    <col width="26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</cols>
  <sheetData>
    <row r="1" ht="22" customHeight="1">
      <c r="A1" s="1" t="inlineStr">
        <is>
          <t>1. MIJOZLAR — baza va o'sish</t>
        </is>
      </c>
    </row>
    <row r="2">
      <c r="A2" t="inlineStr">
        <is>
          <t>M1 — bugungi FAKT: 12 restoran + 15 oila (obuna) + ~205 chakana xarid = 40,000,000 so'm/oy. O'sish shu nuqtadan.</t>
        </is>
      </c>
    </row>
    <row r="4">
      <c r="A4" s="2" t="inlineStr">
        <is>
          <t>Ko'rsatkich</t>
        </is>
      </c>
      <c r="B4" s="3" t="inlineStr">
        <is>
          <t>Sep'26</t>
        </is>
      </c>
      <c r="C4" s="3" t="inlineStr">
        <is>
          <t>Oct'26</t>
        </is>
      </c>
      <c r="D4" s="3" t="inlineStr">
        <is>
          <t>Nov'26</t>
        </is>
      </c>
      <c r="E4" s="3" t="inlineStr">
        <is>
          <t>Dec'26</t>
        </is>
      </c>
      <c r="F4" s="3" t="inlineStr">
        <is>
          <t>Jan'27</t>
        </is>
      </c>
      <c r="G4" s="3" t="inlineStr">
        <is>
          <t>Feb'27</t>
        </is>
      </c>
      <c r="H4" s="3" t="inlineStr">
        <is>
          <t>Mar'27</t>
        </is>
      </c>
      <c r="I4" s="3" t="inlineStr">
        <is>
          <t>Apr'27</t>
        </is>
      </c>
      <c r="J4" s="3" t="inlineStr">
        <is>
          <t>May'27</t>
        </is>
      </c>
      <c r="K4" s="3" t="inlineStr">
        <is>
          <t>Jun'27</t>
        </is>
      </c>
      <c r="L4" s="3" t="inlineStr">
        <is>
          <t>Jul'27</t>
        </is>
      </c>
      <c r="M4" s="3" t="inlineStr">
        <is>
          <t>Aug'27</t>
        </is>
      </c>
      <c r="N4" s="3" t="inlineStr">
        <is>
          <t>Sep'27</t>
        </is>
      </c>
      <c r="O4" s="3" t="inlineStr">
        <is>
          <t>Oct'27</t>
        </is>
      </c>
      <c r="P4" s="3" t="inlineStr">
        <is>
          <t>Nov'27</t>
        </is>
      </c>
      <c r="Q4" s="3" t="inlineStr">
        <is>
          <t>Dec'27</t>
        </is>
      </c>
      <c r="R4" s="3" t="inlineStr">
        <is>
          <t>Jan'28</t>
        </is>
      </c>
      <c r="S4" s="3" t="inlineStr">
        <is>
          <t>Feb'28</t>
        </is>
      </c>
      <c r="T4" s="3" t="inlineStr">
        <is>
          <t>Mar'28</t>
        </is>
      </c>
      <c r="U4" s="3" t="inlineStr">
        <is>
          <t>Apr'28</t>
        </is>
      </c>
      <c r="V4" s="3" t="inlineStr">
        <is>
          <t>May'28</t>
        </is>
      </c>
      <c r="W4" s="3" t="inlineStr">
        <is>
          <t>Jun'28</t>
        </is>
      </c>
      <c r="X4" s="3" t="inlineStr">
        <is>
          <t>Jul'28</t>
        </is>
      </c>
      <c r="Y4" s="3" t="inlineStr">
        <is>
          <t>Aug'28</t>
        </is>
      </c>
      <c r="Z4" s="4" t="inlineStr">
        <is>
          <t>Oxirgi oy</t>
        </is>
      </c>
    </row>
    <row r="5">
      <c r="A5" t="inlineStr">
        <is>
          <t>Restoranlar (B2B)</t>
        </is>
      </c>
      <c r="B5" s="5" t="n">
        <v>12</v>
      </c>
      <c r="C5" s="5" t="n">
        <v>12</v>
      </c>
      <c r="D5" s="5" t="n">
        <v>13</v>
      </c>
      <c r="E5" s="5" t="n">
        <v>14</v>
      </c>
      <c r="F5" s="5" t="n">
        <v>15</v>
      </c>
      <c r="G5" s="5" t="n">
        <v>16</v>
      </c>
      <c r="H5" s="5" t="n">
        <v>17</v>
      </c>
      <c r="I5" s="5" t="n">
        <v>18</v>
      </c>
      <c r="J5" s="5" t="n">
        <v>19</v>
      </c>
      <c r="K5" s="5" t="n">
        <v>20</v>
      </c>
      <c r="L5" s="5" t="n">
        <v>21</v>
      </c>
      <c r="M5" s="5" t="n">
        <v>22</v>
      </c>
      <c r="N5" s="5" t="n">
        <v>23</v>
      </c>
      <c r="O5" s="5" t="n">
        <v>24</v>
      </c>
      <c r="P5" s="5" t="n">
        <v>25</v>
      </c>
      <c r="Q5" s="5" t="n">
        <v>26</v>
      </c>
      <c r="R5" s="5" t="n">
        <v>27</v>
      </c>
      <c r="S5" s="5" t="n">
        <v>28</v>
      </c>
      <c r="T5" s="5" t="n">
        <v>29</v>
      </c>
      <c r="U5" s="5" t="n">
        <v>30</v>
      </c>
      <c r="V5" s="5" t="n">
        <v>31</v>
      </c>
      <c r="W5" s="5" t="n">
        <v>32</v>
      </c>
      <c r="X5" s="5" t="n">
        <v>33</v>
      </c>
      <c r="Y5" s="5" t="n">
        <v>35</v>
      </c>
      <c r="Z5" s="6" t="n">
        <v>35</v>
      </c>
    </row>
    <row r="6">
      <c r="A6" t="inlineStr">
        <is>
          <t>Oilalar (obuna)</t>
        </is>
      </c>
      <c r="B6" s="5" t="n">
        <v>15</v>
      </c>
      <c r="C6" s="5" t="n">
        <v>16</v>
      </c>
      <c r="D6" s="5" t="n">
        <v>17</v>
      </c>
      <c r="E6" s="5" t="n">
        <v>18</v>
      </c>
      <c r="F6" s="5" t="n">
        <v>20</v>
      </c>
      <c r="G6" s="5" t="n">
        <v>22</v>
      </c>
      <c r="H6" s="5" t="n">
        <v>24</v>
      </c>
      <c r="I6" s="5" t="n">
        <v>26</v>
      </c>
      <c r="J6" s="5" t="n">
        <v>28</v>
      </c>
      <c r="K6" s="5" t="n">
        <v>30</v>
      </c>
      <c r="L6" s="5" t="n">
        <v>32</v>
      </c>
      <c r="M6" s="5" t="n">
        <v>34</v>
      </c>
      <c r="N6" s="5" t="n">
        <v>36</v>
      </c>
      <c r="O6" s="5" t="n">
        <v>38</v>
      </c>
      <c r="P6" s="5" t="n">
        <v>40</v>
      </c>
      <c r="Q6" s="5" t="n">
        <v>42</v>
      </c>
      <c r="R6" s="5" t="n">
        <v>45</v>
      </c>
      <c r="S6" s="5" t="n">
        <v>48</v>
      </c>
      <c r="T6" s="5" t="n">
        <v>50</v>
      </c>
      <c r="U6" s="5" t="n">
        <v>52</v>
      </c>
      <c r="V6" s="5" t="n">
        <v>55</v>
      </c>
      <c r="W6" s="5" t="n">
        <v>57</v>
      </c>
      <c r="X6" s="5" t="n">
        <v>58</v>
      </c>
      <c r="Y6" s="5" t="n">
        <v>60</v>
      </c>
      <c r="Z6" s="6" t="n">
        <v>60</v>
      </c>
    </row>
    <row r="7">
      <c r="A7" s="7" t="inlineStr">
        <is>
          <t>DOIMIY MIJOZLAR</t>
        </is>
      </c>
      <c r="B7" s="8" t="n">
        <v>27</v>
      </c>
      <c r="C7" s="8" t="n">
        <v>28</v>
      </c>
      <c r="D7" s="8" t="n">
        <v>30</v>
      </c>
      <c r="E7" s="8" t="n">
        <v>32</v>
      </c>
      <c r="F7" s="8" t="n">
        <v>35</v>
      </c>
      <c r="G7" s="8" t="n">
        <v>38</v>
      </c>
      <c r="H7" s="8" t="n">
        <v>41</v>
      </c>
      <c r="I7" s="8" t="n">
        <v>44</v>
      </c>
      <c r="J7" s="8" t="n">
        <v>47</v>
      </c>
      <c r="K7" s="8" t="n">
        <v>50</v>
      </c>
      <c r="L7" s="8" t="n">
        <v>53</v>
      </c>
      <c r="M7" s="8" t="n">
        <v>56</v>
      </c>
      <c r="N7" s="8" t="n">
        <v>59</v>
      </c>
      <c r="O7" s="8" t="n">
        <v>62</v>
      </c>
      <c r="P7" s="8" t="n">
        <v>65</v>
      </c>
      <c r="Q7" s="8" t="n">
        <v>68</v>
      </c>
      <c r="R7" s="8" t="n">
        <v>72</v>
      </c>
      <c r="S7" s="8" t="n">
        <v>76</v>
      </c>
      <c r="T7" s="8" t="n">
        <v>79</v>
      </c>
      <c r="U7" s="8" t="n">
        <v>82</v>
      </c>
      <c r="V7" s="8" t="n">
        <v>86</v>
      </c>
      <c r="W7" s="8" t="n">
        <v>89</v>
      </c>
      <c r="X7" s="8" t="n">
        <v>91</v>
      </c>
      <c r="Y7" s="8" t="n">
        <v>95</v>
      </c>
      <c r="Z7" s="6" t="n">
        <v>95</v>
      </c>
    </row>
    <row r="8">
      <c r="A8" t="inlineStr">
        <is>
          <t>Chakana xaridlar (dona/oy)</t>
        </is>
      </c>
      <c r="B8" s="5" t="n">
        <v>205</v>
      </c>
      <c r="C8" s="5" t="n">
        <v>210</v>
      </c>
      <c r="D8" s="5" t="n">
        <v>220</v>
      </c>
      <c r="E8" s="5" t="n">
        <v>230</v>
      </c>
      <c r="F8" s="5" t="n">
        <v>245</v>
      </c>
      <c r="G8" s="5" t="n">
        <v>260</v>
      </c>
      <c r="H8" s="5" t="n">
        <v>275</v>
      </c>
      <c r="I8" s="5" t="n">
        <v>290</v>
      </c>
      <c r="J8" s="5" t="n">
        <v>305</v>
      </c>
      <c r="K8" s="5" t="n">
        <v>320</v>
      </c>
      <c r="L8" s="5" t="n">
        <v>335</v>
      </c>
      <c r="M8" s="5" t="n">
        <v>350</v>
      </c>
      <c r="N8" s="5" t="n">
        <v>365</v>
      </c>
      <c r="O8" s="5" t="n">
        <v>380</v>
      </c>
      <c r="P8" s="5" t="n">
        <v>395</v>
      </c>
      <c r="Q8" s="5" t="n">
        <v>410</v>
      </c>
      <c r="R8" s="5" t="n">
        <v>425</v>
      </c>
      <c r="S8" s="5" t="n">
        <v>440</v>
      </c>
      <c r="T8" s="5" t="n">
        <v>455</v>
      </c>
      <c r="U8" s="5" t="n">
        <v>470</v>
      </c>
      <c r="V8" s="5" t="n">
        <v>485</v>
      </c>
      <c r="W8" s="5" t="n">
        <v>500</v>
      </c>
      <c r="X8" s="5" t="n">
        <v>515</v>
      </c>
      <c r="Y8" s="5" t="n">
        <v>530</v>
      </c>
      <c r="Z8" s="6" t="n">
        <v>530</v>
      </c>
    </row>
    <row r="9">
      <c r="A9" t="inlineStr">
        <is>
          <t>Yangi mijozlar</t>
        </is>
      </c>
      <c r="B9" s="5" t="n">
        <v>0</v>
      </c>
      <c r="C9" s="5" t="n">
        <v>1</v>
      </c>
      <c r="D9" s="5" t="n">
        <v>2</v>
      </c>
      <c r="E9" s="5" t="n">
        <v>2</v>
      </c>
      <c r="F9" s="5" t="n">
        <v>3</v>
      </c>
      <c r="G9" s="5" t="n">
        <v>3</v>
      </c>
      <c r="H9" s="5" t="n">
        <v>3</v>
      </c>
      <c r="I9" s="5" t="n">
        <v>3</v>
      </c>
      <c r="J9" s="5" t="n">
        <v>3</v>
      </c>
      <c r="K9" s="5" t="n">
        <v>3</v>
      </c>
      <c r="L9" s="5" t="n">
        <v>3</v>
      </c>
      <c r="M9" s="5" t="n">
        <v>3</v>
      </c>
      <c r="N9" s="5" t="n">
        <v>3</v>
      </c>
      <c r="O9" s="5" t="n">
        <v>3</v>
      </c>
      <c r="P9" s="5" t="n">
        <v>3</v>
      </c>
      <c r="Q9" s="5" t="n">
        <v>3</v>
      </c>
      <c r="R9" s="5" t="n">
        <v>4</v>
      </c>
      <c r="S9" s="5" t="n">
        <v>4</v>
      </c>
      <c r="T9" s="5" t="n">
        <v>3</v>
      </c>
      <c r="U9" s="5" t="n">
        <v>3</v>
      </c>
      <c r="V9" s="5" t="n">
        <v>4</v>
      </c>
      <c r="W9" s="5" t="n">
        <v>3</v>
      </c>
      <c r="X9" s="5" t="n">
        <v>2</v>
      </c>
      <c r="Y9" s="5" t="n">
        <v>4</v>
      </c>
      <c r="Z9" s="6" t="n">
        <v>68</v>
      </c>
    </row>
    <row r="10">
      <c r="A10" t="inlineStr">
        <is>
          <t>Churn (oylik, %)</t>
        </is>
      </c>
      <c r="B10" s="9" t="n">
        <v>2.5</v>
      </c>
      <c r="C10" s="9" t="n">
        <v>2.5</v>
      </c>
      <c r="D10" s="9" t="n">
        <v>2.5</v>
      </c>
      <c r="E10" s="9" t="n">
        <v>2.5</v>
      </c>
      <c r="F10" s="9" t="n">
        <v>2.5</v>
      </c>
      <c r="G10" s="9" t="n">
        <v>2.5</v>
      </c>
      <c r="H10" s="9" t="n">
        <v>2.5</v>
      </c>
      <c r="I10" s="9" t="n">
        <v>2.5</v>
      </c>
      <c r="J10" s="9" t="n">
        <v>2.5</v>
      </c>
      <c r="K10" s="9" t="n">
        <v>2.5</v>
      </c>
      <c r="L10" s="9" t="n">
        <v>2.5</v>
      </c>
      <c r="M10" s="9" t="n">
        <v>2.5</v>
      </c>
      <c r="N10" s="9" t="n">
        <v>2.5</v>
      </c>
      <c r="O10" s="9" t="n">
        <v>2.5</v>
      </c>
      <c r="P10" s="9" t="n">
        <v>2.5</v>
      </c>
      <c r="Q10" s="9" t="n">
        <v>2.5</v>
      </c>
      <c r="R10" s="9" t="n">
        <v>2.5</v>
      </c>
      <c r="S10" s="9" t="n">
        <v>2.5</v>
      </c>
      <c r="T10" s="9" t="n">
        <v>2.5</v>
      </c>
      <c r="U10" s="9" t="n">
        <v>2.5</v>
      </c>
      <c r="V10" s="9" t="n">
        <v>2.5</v>
      </c>
      <c r="W10" s="9" t="n">
        <v>2.5</v>
      </c>
      <c r="X10" s="9" t="n">
        <v>2.5</v>
      </c>
      <c r="Y10" s="9" t="n">
        <v>2.5</v>
      </c>
      <c r="Z10" s="10" t="n">
        <v>2.5</v>
      </c>
    </row>
  </sheetData>
  <mergeCells count="1">
    <mergeCell ref="A1:Z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selection activeCell="A1" sqref="A1"/>
    </sheetView>
  </sheetViews>
  <sheetFormatPr baseColWidth="8" defaultRowHeight="15"/>
  <cols>
    <col width="38" customWidth="1" min="1" max="1"/>
    <col width="16" customWidth="1" min="2" max="2"/>
    <col width="16" customWidth="1" min="3" max="3"/>
    <col width="52" customWidth="1" min="4" max="4"/>
  </cols>
  <sheetData>
    <row r="1" ht="22" customHeight="1">
      <c r="A1" s="1" t="inlineStr">
        <is>
          <t>2. TARIFLAR — modelda ishlatilgan narxlar</t>
        </is>
      </c>
    </row>
    <row r="3">
      <c r="A3" s="2" t="inlineStr">
        <is>
          <t>Kanal / Mahsulot</t>
        </is>
      </c>
      <c r="B3" s="3" t="inlineStr">
        <is>
          <t>Narx (UZS)</t>
        </is>
      </c>
      <c r="C3" s="3" t="inlineStr">
        <is>
          <t>Narx ($)</t>
        </is>
      </c>
      <c r="D3" s="3" t="inlineStr">
        <is>
          <t>Izoh</t>
        </is>
      </c>
    </row>
    <row r="4">
      <c r="A4" t="inlineStr">
        <is>
          <t>Restoran — bitta yetkazish cheki</t>
        </is>
      </c>
      <c r="B4" s="11" t="n">
        <v>200000</v>
      </c>
      <c r="C4" s="12" t="n">
        <v>15.38</v>
      </c>
      <c r="D4" t="inlineStr">
        <is>
          <t>Oyiga ~5 marta yetkazamiz → 1,000,000 so'm/oy</t>
        </is>
      </c>
    </row>
    <row r="5">
      <c r="A5" t="inlineStr">
        <is>
          <t>Oila obunasi (oylik)</t>
        </is>
      </c>
      <c r="B5" s="11" t="n">
        <v>500000</v>
      </c>
      <c r="C5" s="12" t="n">
        <v>38.46</v>
      </c>
      <c r="D5" t="inlineStr">
        <is>
          <t>Yagona haqiqiy obuna kanali</t>
        </is>
      </c>
    </row>
    <row r="6">
      <c r="A6" t="inlineStr">
        <is>
          <t>Chakana savdo — o'rtacha chek</t>
        </is>
      </c>
      <c r="B6" s="11" t="n">
        <v>100000</v>
      </c>
      <c r="C6" s="12" t="n">
        <v>7.69</v>
      </c>
      <c r="D6" t="inlineStr">
        <is>
          <t>Mijozlar donalab oladi, eng katta oqim</t>
        </is>
      </c>
    </row>
    <row r="7">
      <c r="A7" t="inlineStr">
        <is>
          <t>Premium qulupnay (1 kg)</t>
        </is>
      </c>
      <c r="B7" s="11" t="n">
        <v>110000</v>
      </c>
      <c r="C7" s="12" t="n">
        <v>8.460000000000001</v>
      </c>
      <c r="D7" t="inlineStr">
        <is>
          <t>Yangi ferma mahsuloti, asosan chakanaga</t>
        </is>
      </c>
    </row>
    <row r="8">
      <c r="A8" s="7" t="inlineStr">
        <is>
          <t>Ferma quvvati (fizik chegara):</t>
        </is>
      </c>
    </row>
    <row r="9">
      <c r="A9" t="inlineStr">
        <is>
          <t>2700 tup × 1.0 kg/yil = 2,700 kg/yil</t>
        </is>
      </c>
    </row>
    <row r="10">
      <c r="A10">
        <f> 24,750,000 so'm/oy — bundan ortiq 60 m² dan olib bo'lmaydi. Kengaytirish keyingi bosqich.</f>
        <v/>
      </c>
    </row>
  </sheetData>
  <mergeCells count="1">
    <mergeCell ref="A1:D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Z13"/>
  <sheetViews>
    <sheetView workbookViewId="0">
      <selection activeCell="A1" sqref="A1"/>
    </sheetView>
  </sheetViews>
  <sheetFormatPr baseColWidth="8" defaultRowHeight="15"/>
  <cols>
    <col width="2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</cols>
  <sheetData>
    <row r="1" ht="22" customHeight="1">
      <c r="A1" s="1" t="inlineStr">
        <is>
          <t>3. DAROMAD</t>
        </is>
      </c>
    </row>
    <row r="3">
      <c r="A3" s="2" t="inlineStr">
        <is>
          <t>Ko'rsatkich (UZS)</t>
        </is>
      </c>
      <c r="B3" s="3" t="inlineStr">
        <is>
          <t>Sep'26</t>
        </is>
      </c>
      <c r="C3" s="3" t="inlineStr">
        <is>
          <t>Oct'26</t>
        </is>
      </c>
      <c r="D3" s="3" t="inlineStr">
        <is>
          <t>Nov'26</t>
        </is>
      </c>
      <c r="E3" s="3" t="inlineStr">
        <is>
          <t>Dec'26</t>
        </is>
      </c>
      <c r="F3" s="3" t="inlineStr">
        <is>
          <t>Jan'27</t>
        </is>
      </c>
      <c r="G3" s="3" t="inlineStr">
        <is>
          <t>Feb'27</t>
        </is>
      </c>
      <c r="H3" s="3" t="inlineStr">
        <is>
          <t>Mar'27</t>
        </is>
      </c>
      <c r="I3" s="3" t="inlineStr">
        <is>
          <t>Apr'27</t>
        </is>
      </c>
      <c r="J3" s="3" t="inlineStr">
        <is>
          <t>May'27</t>
        </is>
      </c>
      <c r="K3" s="3" t="inlineStr">
        <is>
          <t>Jun'27</t>
        </is>
      </c>
      <c r="L3" s="3" t="inlineStr">
        <is>
          <t>Jul'27</t>
        </is>
      </c>
      <c r="M3" s="3" t="inlineStr">
        <is>
          <t>Aug'27</t>
        </is>
      </c>
      <c r="N3" s="3" t="inlineStr">
        <is>
          <t>Sep'27</t>
        </is>
      </c>
      <c r="O3" s="3" t="inlineStr">
        <is>
          <t>Oct'27</t>
        </is>
      </c>
      <c r="P3" s="3" t="inlineStr">
        <is>
          <t>Nov'27</t>
        </is>
      </c>
      <c r="Q3" s="3" t="inlineStr">
        <is>
          <t>Dec'27</t>
        </is>
      </c>
      <c r="R3" s="3" t="inlineStr">
        <is>
          <t>Jan'28</t>
        </is>
      </c>
      <c r="S3" s="3" t="inlineStr">
        <is>
          <t>Feb'28</t>
        </is>
      </c>
      <c r="T3" s="3" t="inlineStr">
        <is>
          <t>Mar'28</t>
        </is>
      </c>
      <c r="U3" s="3" t="inlineStr">
        <is>
          <t>Apr'28</t>
        </is>
      </c>
      <c r="V3" s="3" t="inlineStr">
        <is>
          <t>May'28</t>
        </is>
      </c>
      <c r="W3" s="3" t="inlineStr">
        <is>
          <t>Jun'28</t>
        </is>
      </c>
      <c r="X3" s="3" t="inlineStr">
        <is>
          <t>Jul'28</t>
        </is>
      </c>
      <c r="Y3" s="3" t="inlineStr">
        <is>
          <t>Aug'28</t>
        </is>
      </c>
      <c r="Z3" s="4" t="inlineStr">
        <is>
          <t>JAMI</t>
        </is>
      </c>
    </row>
    <row r="4">
      <c r="A4" t="inlineStr">
        <is>
          <t>Restoranlar (buyurtma)</t>
        </is>
      </c>
      <c r="B4" s="5" t="n">
        <v>12000000</v>
      </c>
      <c r="C4" s="5" t="n">
        <v>12000000</v>
      </c>
      <c r="D4" s="5" t="n">
        <v>13000000</v>
      </c>
      <c r="E4" s="5" t="n">
        <v>14000000</v>
      </c>
      <c r="F4" s="5" t="n">
        <v>15000000</v>
      </c>
      <c r="G4" s="5" t="n">
        <v>16000000</v>
      </c>
      <c r="H4" s="5" t="n">
        <v>17000000</v>
      </c>
      <c r="I4" s="5" t="n">
        <v>18000000</v>
      </c>
      <c r="J4" s="5" t="n">
        <v>19000000</v>
      </c>
      <c r="K4" s="5" t="n">
        <v>20000000</v>
      </c>
      <c r="L4" s="5" t="n">
        <v>21000000</v>
      </c>
      <c r="M4" s="5" t="n">
        <v>22000000</v>
      </c>
      <c r="N4" s="5" t="n">
        <v>23000000</v>
      </c>
      <c r="O4" s="5" t="n">
        <v>24000000</v>
      </c>
      <c r="P4" s="5" t="n">
        <v>25000000</v>
      </c>
      <c r="Q4" s="5" t="n">
        <v>26000000</v>
      </c>
      <c r="R4" s="5" t="n">
        <v>27000000</v>
      </c>
      <c r="S4" s="5" t="n">
        <v>28000000</v>
      </c>
      <c r="T4" s="5" t="n">
        <v>29000000</v>
      </c>
      <c r="U4" s="5" t="n">
        <v>30000000</v>
      </c>
      <c r="V4" s="5" t="n">
        <v>31000000</v>
      </c>
      <c r="W4" s="5" t="n">
        <v>32000000</v>
      </c>
      <c r="X4" s="5" t="n">
        <v>33000000</v>
      </c>
      <c r="Y4" s="5" t="n">
        <v>35000000</v>
      </c>
      <c r="Z4" s="6" t="n">
        <v>542000000</v>
      </c>
    </row>
    <row r="5">
      <c r="A5" t="inlineStr">
        <is>
          <t>Oila obunalari</t>
        </is>
      </c>
      <c r="B5" s="5" t="n">
        <v>7500000</v>
      </c>
      <c r="C5" s="5" t="n">
        <v>8000000</v>
      </c>
      <c r="D5" s="5" t="n">
        <v>8500000</v>
      </c>
      <c r="E5" s="5" t="n">
        <v>9000000</v>
      </c>
      <c r="F5" s="5" t="n">
        <v>10000000</v>
      </c>
      <c r="G5" s="5" t="n">
        <v>11000000</v>
      </c>
      <c r="H5" s="5" t="n">
        <v>12000000</v>
      </c>
      <c r="I5" s="5" t="n">
        <v>13000000</v>
      </c>
      <c r="J5" s="5" t="n">
        <v>14000000</v>
      </c>
      <c r="K5" s="5" t="n">
        <v>15000000</v>
      </c>
      <c r="L5" s="5" t="n">
        <v>16000000</v>
      </c>
      <c r="M5" s="5" t="n">
        <v>17000000</v>
      </c>
      <c r="N5" s="5" t="n">
        <v>18000000</v>
      </c>
      <c r="O5" s="5" t="n">
        <v>19000000</v>
      </c>
      <c r="P5" s="5" t="n">
        <v>20000000</v>
      </c>
      <c r="Q5" s="5" t="n">
        <v>21000000</v>
      </c>
      <c r="R5" s="5" t="n">
        <v>22500000</v>
      </c>
      <c r="S5" s="5" t="n">
        <v>24000000</v>
      </c>
      <c r="T5" s="5" t="n">
        <v>25000000</v>
      </c>
      <c r="U5" s="5" t="n">
        <v>26000000</v>
      </c>
      <c r="V5" s="5" t="n">
        <v>27500000</v>
      </c>
      <c r="W5" s="5" t="n">
        <v>28500000</v>
      </c>
      <c r="X5" s="5" t="n">
        <v>29000000</v>
      </c>
      <c r="Y5" s="5" t="n">
        <v>30000000</v>
      </c>
      <c r="Z5" s="6" t="n">
        <v>431500000</v>
      </c>
    </row>
    <row r="6">
      <c r="A6" t="inlineStr">
        <is>
          <t>Chakana savdo</t>
        </is>
      </c>
      <c r="B6" s="5" t="n">
        <v>20500000</v>
      </c>
      <c r="C6" s="5" t="n">
        <v>21000000</v>
      </c>
      <c r="D6" s="5" t="n">
        <v>22000000</v>
      </c>
      <c r="E6" s="5" t="n">
        <v>23000000</v>
      </c>
      <c r="F6" s="5" t="n">
        <v>24500000</v>
      </c>
      <c r="G6" s="5" t="n">
        <v>26000000</v>
      </c>
      <c r="H6" s="5" t="n">
        <v>27500000</v>
      </c>
      <c r="I6" s="5" t="n">
        <v>29000000</v>
      </c>
      <c r="J6" s="5" t="n">
        <v>30500000</v>
      </c>
      <c r="K6" s="5" t="n">
        <v>32000000</v>
      </c>
      <c r="L6" s="5" t="n">
        <v>33500000</v>
      </c>
      <c r="M6" s="5" t="n">
        <v>35000000</v>
      </c>
      <c r="N6" s="5" t="n">
        <v>36500000</v>
      </c>
      <c r="O6" s="5" t="n">
        <v>38000000</v>
      </c>
      <c r="P6" s="5" t="n">
        <v>39500000</v>
      </c>
      <c r="Q6" s="5" t="n">
        <v>41000000</v>
      </c>
      <c r="R6" s="5" t="n">
        <v>42500000</v>
      </c>
      <c r="S6" s="5" t="n">
        <v>44000000</v>
      </c>
      <c r="T6" s="5" t="n">
        <v>45500000</v>
      </c>
      <c r="U6" s="5" t="n">
        <v>47000000</v>
      </c>
      <c r="V6" s="5" t="n">
        <v>48500000</v>
      </c>
      <c r="W6" s="5" t="n">
        <v>50000000</v>
      </c>
      <c r="X6" s="5" t="n">
        <v>51500000</v>
      </c>
      <c r="Y6" s="5" t="n">
        <v>53000000</v>
      </c>
      <c r="Z6" s="6" t="n">
        <v>861500000</v>
      </c>
    </row>
    <row r="7">
      <c r="A7" t="inlineStr">
        <is>
          <t>Qulupnay</t>
        </is>
      </c>
      <c r="B7" s="5" t="n">
        <v>0</v>
      </c>
      <c r="C7" s="5" t="n">
        <v>0</v>
      </c>
      <c r="D7" s="5" t="n">
        <v>0</v>
      </c>
      <c r="E7" s="5" t="n">
        <v>6187500</v>
      </c>
      <c r="F7" s="5" t="n">
        <v>12375000</v>
      </c>
      <c r="G7" s="5" t="n">
        <v>18562500</v>
      </c>
      <c r="H7" s="5" t="n">
        <v>24750000</v>
      </c>
      <c r="I7" s="5" t="n">
        <v>24750000</v>
      </c>
      <c r="J7" s="5" t="n">
        <v>24750000</v>
      </c>
      <c r="K7" s="5" t="n">
        <v>24750000</v>
      </c>
      <c r="L7" s="5" t="n">
        <v>24750000</v>
      </c>
      <c r="M7" s="5" t="n">
        <v>24750000</v>
      </c>
      <c r="N7" s="5" t="n">
        <v>24750000</v>
      </c>
      <c r="O7" s="5" t="n">
        <v>24750000</v>
      </c>
      <c r="P7" s="5" t="n">
        <v>24750000</v>
      </c>
      <c r="Q7" s="5" t="n">
        <v>24750000</v>
      </c>
      <c r="R7" s="5" t="n">
        <v>24750000</v>
      </c>
      <c r="S7" s="5" t="n">
        <v>24750000</v>
      </c>
      <c r="T7" s="5" t="n">
        <v>24750000</v>
      </c>
      <c r="U7" s="5" t="n">
        <v>24750000</v>
      </c>
      <c r="V7" s="5" t="n">
        <v>24750000</v>
      </c>
      <c r="W7" s="5" t="n">
        <v>24750000</v>
      </c>
      <c r="X7" s="5" t="n">
        <v>24750000</v>
      </c>
      <c r="Y7" s="5" t="n">
        <v>24750000</v>
      </c>
      <c r="Z7" s="6" t="n">
        <v>482625000</v>
      </c>
    </row>
    <row r="8">
      <c r="A8" s="7" t="inlineStr">
        <is>
          <t>JAMI DAROMAD</t>
        </is>
      </c>
      <c r="B8" s="8" t="n">
        <v>40000000</v>
      </c>
      <c r="C8" s="8" t="n">
        <v>41000000</v>
      </c>
      <c r="D8" s="8" t="n">
        <v>43500000</v>
      </c>
      <c r="E8" s="8" t="n">
        <v>52187500</v>
      </c>
      <c r="F8" s="8" t="n">
        <v>61875000</v>
      </c>
      <c r="G8" s="8" t="n">
        <v>71562500</v>
      </c>
      <c r="H8" s="8" t="n">
        <v>81250000</v>
      </c>
      <c r="I8" s="8" t="n">
        <v>84750000</v>
      </c>
      <c r="J8" s="8" t="n">
        <v>88250000</v>
      </c>
      <c r="K8" s="8" t="n">
        <v>91750000</v>
      </c>
      <c r="L8" s="8" t="n">
        <v>95250000</v>
      </c>
      <c r="M8" s="8" t="n">
        <v>98750000</v>
      </c>
      <c r="N8" s="8" t="n">
        <v>102250000</v>
      </c>
      <c r="O8" s="8" t="n">
        <v>105750000</v>
      </c>
      <c r="P8" s="8" t="n">
        <v>109250000</v>
      </c>
      <c r="Q8" s="8" t="n">
        <v>112750000</v>
      </c>
      <c r="R8" s="8" t="n">
        <v>116750000</v>
      </c>
      <c r="S8" s="8" t="n">
        <v>120750000</v>
      </c>
      <c r="T8" s="8" t="n">
        <v>124250000</v>
      </c>
      <c r="U8" s="8" t="n">
        <v>127750000</v>
      </c>
      <c r="V8" s="8" t="n">
        <v>131750000</v>
      </c>
      <c r="W8" s="8" t="n">
        <v>135250000</v>
      </c>
      <c r="X8" s="8" t="n">
        <v>138250000</v>
      </c>
      <c r="Y8" s="8" t="n">
        <v>142750000</v>
      </c>
      <c r="Z8" s="6" t="n">
        <v>2317625000</v>
      </c>
    </row>
    <row r="10">
      <c r="A10" t="inlineStr">
        <is>
          <t>MRR (takrorlanuvchi)</t>
        </is>
      </c>
      <c r="B10" s="5" t="n">
        <v>19500000</v>
      </c>
      <c r="C10" s="5" t="n">
        <v>20000000</v>
      </c>
      <c r="D10" s="5" t="n">
        <v>21500000</v>
      </c>
      <c r="E10" s="5" t="n">
        <v>23000000</v>
      </c>
      <c r="F10" s="5" t="n">
        <v>25000000</v>
      </c>
      <c r="G10" s="5" t="n">
        <v>27000000</v>
      </c>
      <c r="H10" s="5" t="n">
        <v>29000000</v>
      </c>
      <c r="I10" s="5" t="n">
        <v>31000000</v>
      </c>
      <c r="J10" s="5" t="n">
        <v>33000000</v>
      </c>
      <c r="K10" s="5" t="n">
        <v>35000000</v>
      </c>
      <c r="L10" s="5" t="n">
        <v>37000000</v>
      </c>
      <c r="M10" s="5" t="n">
        <v>39000000</v>
      </c>
      <c r="N10" s="5" t="n">
        <v>41000000</v>
      </c>
      <c r="O10" s="5" t="n">
        <v>43000000</v>
      </c>
      <c r="P10" s="5" t="n">
        <v>45000000</v>
      </c>
      <c r="Q10" s="5" t="n">
        <v>47000000</v>
      </c>
      <c r="R10" s="5" t="n">
        <v>49500000</v>
      </c>
      <c r="S10" s="5" t="n">
        <v>52000000</v>
      </c>
      <c r="T10" s="5" t="n">
        <v>54000000</v>
      </c>
      <c r="U10" s="5" t="n">
        <v>56000000</v>
      </c>
      <c r="V10" s="5" t="n">
        <v>58500000</v>
      </c>
      <c r="W10" s="5" t="n">
        <v>60500000</v>
      </c>
      <c r="X10" s="5" t="n">
        <v>62000000</v>
      </c>
      <c r="Y10" s="5" t="n">
        <v>65000000</v>
      </c>
      <c r="Z10" s="6" t="n">
        <v>65000000</v>
      </c>
    </row>
    <row r="11">
      <c r="A11" t="inlineStr">
        <is>
          <t>ARR (yillik)</t>
        </is>
      </c>
      <c r="B11" s="5" t="n">
        <v>234000000</v>
      </c>
      <c r="C11" s="5" t="n">
        <v>240000000</v>
      </c>
      <c r="D11" s="5" t="n">
        <v>258000000</v>
      </c>
      <c r="E11" s="5" t="n">
        <v>276000000</v>
      </c>
      <c r="F11" s="5" t="n">
        <v>300000000</v>
      </c>
      <c r="G11" s="5" t="n">
        <v>324000000</v>
      </c>
      <c r="H11" s="5" t="n">
        <v>348000000</v>
      </c>
      <c r="I11" s="5" t="n">
        <v>372000000</v>
      </c>
      <c r="J11" s="5" t="n">
        <v>396000000</v>
      </c>
      <c r="K11" s="5" t="n">
        <v>420000000</v>
      </c>
      <c r="L11" s="5" t="n">
        <v>444000000</v>
      </c>
      <c r="M11" s="5" t="n">
        <v>468000000</v>
      </c>
      <c r="N11" s="5" t="n">
        <v>492000000</v>
      </c>
      <c r="O11" s="5" t="n">
        <v>516000000</v>
      </c>
      <c r="P11" s="5" t="n">
        <v>540000000</v>
      </c>
      <c r="Q11" s="5" t="n">
        <v>564000000</v>
      </c>
      <c r="R11" s="5" t="n">
        <v>594000000</v>
      </c>
      <c r="S11" s="5" t="n">
        <v>624000000</v>
      </c>
      <c r="T11" s="5" t="n">
        <v>648000000</v>
      </c>
      <c r="U11" s="5" t="n">
        <v>672000000</v>
      </c>
      <c r="V11" s="5" t="n">
        <v>702000000</v>
      </c>
      <c r="W11" s="5" t="n">
        <v>726000000</v>
      </c>
      <c r="X11" s="5" t="n">
        <v>744000000</v>
      </c>
      <c r="Y11" s="5" t="n">
        <v>780000000</v>
      </c>
      <c r="Z11" s="6" t="n">
        <v>780000000</v>
      </c>
    </row>
    <row r="12">
      <c r="A12" t="inlineStr">
        <is>
          <t>ARPU</t>
        </is>
      </c>
      <c r="B12" s="5" t="n">
        <v>1481481</v>
      </c>
      <c r="C12" s="5" t="n">
        <v>1464286</v>
      </c>
      <c r="D12" s="5" t="n">
        <v>1450000</v>
      </c>
      <c r="E12" s="5" t="n">
        <v>1630859</v>
      </c>
      <c r="F12" s="5" t="n">
        <v>1767857</v>
      </c>
      <c r="G12" s="5" t="n">
        <v>1883224</v>
      </c>
      <c r="H12" s="5" t="n">
        <v>1981707</v>
      </c>
      <c r="I12" s="5" t="n">
        <v>1926136</v>
      </c>
      <c r="J12" s="5" t="n">
        <v>1877660</v>
      </c>
      <c r="K12" s="5" t="n">
        <v>1835000</v>
      </c>
      <c r="L12" s="5" t="n">
        <v>1797170</v>
      </c>
      <c r="M12" s="5" t="n">
        <v>1763393</v>
      </c>
      <c r="N12" s="5" t="n">
        <v>1733051</v>
      </c>
      <c r="O12" s="5" t="n">
        <v>1705645</v>
      </c>
      <c r="P12" s="5" t="n">
        <v>1680769</v>
      </c>
      <c r="Q12" s="5" t="n">
        <v>1658088</v>
      </c>
      <c r="R12" s="5" t="n">
        <v>1621528</v>
      </c>
      <c r="S12" s="5" t="n">
        <v>1588816</v>
      </c>
      <c r="T12" s="5" t="n">
        <v>1572785</v>
      </c>
      <c r="U12" s="5" t="n">
        <v>1557927</v>
      </c>
      <c r="V12" s="5" t="n">
        <v>1531977</v>
      </c>
      <c r="W12" s="5" t="n">
        <v>1519663</v>
      </c>
      <c r="X12" s="5" t="n">
        <v>1519231</v>
      </c>
      <c r="Y12" s="5" t="n">
        <v>1502632</v>
      </c>
      <c r="Z12" s="6" t="n">
        <v>1502632</v>
      </c>
    </row>
    <row r="13">
      <c r="A13" t="inlineStr">
        <is>
          <t>Daromad ($)</t>
        </is>
      </c>
      <c r="B13" s="5" t="n">
        <v>3077</v>
      </c>
      <c r="C13" s="5" t="n">
        <v>3154</v>
      </c>
      <c r="D13" s="5" t="n">
        <v>3346</v>
      </c>
      <c r="E13" s="5" t="n">
        <v>4014</v>
      </c>
      <c r="F13" s="5" t="n">
        <v>4760</v>
      </c>
      <c r="G13" s="5" t="n">
        <v>5505</v>
      </c>
      <c r="H13" s="5" t="n">
        <v>6250</v>
      </c>
      <c r="I13" s="5" t="n">
        <v>6519</v>
      </c>
      <c r="J13" s="5" t="n">
        <v>6788</v>
      </c>
      <c r="K13" s="5" t="n">
        <v>7058</v>
      </c>
      <c r="L13" s="5" t="n">
        <v>7327</v>
      </c>
      <c r="M13" s="5" t="n">
        <v>7596</v>
      </c>
      <c r="N13" s="5" t="n">
        <v>7865</v>
      </c>
      <c r="O13" s="5" t="n">
        <v>8135</v>
      </c>
      <c r="P13" s="5" t="n">
        <v>8404</v>
      </c>
      <c r="Q13" s="5" t="n">
        <v>8673</v>
      </c>
      <c r="R13" s="5" t="n">
        <v>8981</v>
      </c>
      <c r="S13" s="5" t="n">
        <v>9288</v>
      </c>
      <c r="T13" s="5" t="n">
        <v>9558</v>
      </c>
      <c r="U13" s="5" t="n">
        <v>9827</v>
      </c>
      <c r="V13" s="5" t="n">
        <v>10135</v>
      </c>
      <c r="W13" s="5" t="n">
        <v>10404</v>
      </c>
      <c r="X13" s="5" t="n">
        <v>10635</v>
      </c>
      <c r="Y13" s="5" t="n">
        <v>10981</v>
      </c>
      <c r="Z13" s="6" t="n">
        <v>178279</v>
      </c>
    </row>
  </sheetData>
  <mergeCells count="1">
    <mergeCell ref="A1:Z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16"/>
  <sheetViews>
    <sheetView workbookViewId="0">
      <selection activeCell="A1" sqref="A1"/>
    </sheetView>
  </sheetViews>
  <sheetFormatPr baseColWidth="8" defaultRowHeight="15"/>
  <cols>
    <col width="2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</cols>
  <sheetData>
    <row r="1" ht="22" customHeight="1">
      <c r="A1" s="1" t="inlineStr">
        <is>
          <t>4. XARAJATLAR</t>
        </is>
      </c>
    </row>
    <row r="3">
      <c r="A3" s="2" t="inlineStr">
        <is>
          <t>Xarajat turi (UZS)</t>
        </is>
      </c>
      <c r="B3" s="3" t="inlineStr">
        <is>
          <t>Sep'26</t>
        </is>
      </c>
      <c r="C3" s="3" t="inlineStr">
        <is>
          <t>Oct'26</t>
        </is>
      </c>
      <c r="D3" s="3" t="inlineStr">
        <is>
          <t>Nov'26</t>
        </is>
      </c>
      <c r="E3" s="3" t="inlineStr">
        <is>
          <t>Dec'26</t>
        </is>
      </c>
      <c r="F3" s="3" t="inlineStr">
        <is>
          <t>Jan'27</t>
        </is>
      </c>
      <c r="G3" s="3" t="inlineStr">
        <is>
          <t>Feb'27</t>
        </is>
      </c>
      <c r="H3" s="3" t="inlineStr">
        <is>
          <t>Mar'27</t>
        </is>
      </c>
      <c r="I3" s="3" t="inlineStr">
        <is>
          <t>Apr'27</t>
        </is>
      </c>
      <c r="J3" s="3" t="inlineStr">
        <is>
          <t>May'27</t>
        </is>
      </c>
      <c r="K3" s="3" t="inlineStr">
        <is>
          <t>Jun'27</t>
        </is>
      </c>
      <c r="L3" s="3" t="inlineStr">
        <is>
          <t>Jul'27</t>
        </is>
      </c>
      <c r="M3" s="3" t="inlineStr">
        <is>
          <t>Aug'27</t>
        </is>
      </c>
      <c r="N3" s="3" t="inlineStr">
        <is>
          <t>Sep'27</t>
        </is>
      </c>
      <c r="O3" s="3" t="inlineStr">
        <is>
          <t>Oct'27</t>
        </is>
      </c>
      <c r="P3" s="3" t="inlineStr">
        <is>
          <t>Nov'27</t>
        </is>
      </c>
      <c r="Q3" s="3" t="inlineStr">
        <is>
          <t>Dec'27</t>
        </is>
      </c>
      <c r="R3" s="3" t="inlineStr">
        <is>
          <t>Jan'28</t>
        </is>
      </c>
      <c r="S3" s="3" t="inlineStr">
        <is>
          <t>Feb'28</t>
        </is>
      </c>
      <c r="T3" s="3" t="inlineStr">
        <is>
          <t>Mar'28</t>
        </is>
      </c>
      <c r="U3" s="3" t="inlineStr">
        <is>
          <t>Apr'28</t>
        </is>
      </c>
      <c r="V3" s="3" t="inlineStr">
        <is>
          <t>May'28</t>
        </is>
      </c>
      <c r="W3" s="3" t="inlineStr">
        <is>
          <t>Jun'28</t>
        </is>
      </c>
      <c r="X3" s="3" t="inlineStr">
        <is>
          <t>Jul'28</t>
        </is>
      </c>
      <c r="Y3" s="3" t="inlineStr">
        <is>
          <t>Aug'28</t>
        </is>
      </c>
      <c r="Z3" s="4" t="inlineStr">
        <is>
          <t>JAMI</t>
        </is>
      </c>
    </row>
    <row r="4">
      <c r="A4" t="inlineStr">
        <is>
          <t>Ish haqi</t>
        </is>
      </c>
      <c r="B4" s="5" t="n">
        <v>6000000</v>
      </c>
      <c r="C4" s="5" t="n">
        <v>6000000</v>
      </c>
      <c r="D4" s="5" t="n">
        <v>6000000</v>
      </c>
      <c r="E4" s="5" t="n">
        <v>10000000</v>
      </c>
      <c r="F4" s="5" t="n">
        <v>10000000</v>
      </c>
      <c r="G4" s="5" t="n">
        <v>10000000</v>
      </c>
      <c r="H4" s="5" t="n">
        <v>10000000</v>
      </c>
      <c r="I4" s="5" t="n">
        <v>10000000</v>
      </c>
      <c r="J4" s="5" t="n">
        <v>10000000</v>
      </c>
      <c r="K4" s="5" t="n">
        <v>10000000</v>
      </c>
      <c r="L4" s="5" t="n">
        <v>10000000</v>
      </c>
      <c r="M4" s="5" t="n">
        <v>10000000</v>
      </c>
      <c r="N4" s="5" t="n">
        <v>10000000</v>
      </c>
      <c r="O4" s="5" t="n">
        <v>10000000</v>
      </c>
      <c r="P4" s="5" t="n">
        <v>10000000</v>
      </c>
      <c r="Q4" s="5" t="n">
        <v>10000000</v>
      </c>
      <c r="R4" s="5" t="n">
        <v>10000000</v>
      </c>
      <c r="S4" s="5" t="n">
        <v>10000000</v>
      </c>
      <c r="T4" s="5" t="n">
        <v>10000000</v>
      </c>
      <c r="U4" s="5" t="n">
        <v>10000000</v>
      </c>
      <c r="V4" s="5" t="n">
        <v>10000000</v>
      </c>
      <c r="W4" s="5" t="n">
        <v>10000000</v>
      </c>
      <c r="X4" s="5" t="n">
        <v>10000000</v>
      </c>
      <c r="Y4" s="5" t="n">
        <v>10000000</v>
      </c>
      <c r="Z4" s="6" t="n">
        <v>228000000</v>
      </c>
    </row>
    <row r="5">
      <c r="A5" t="inlineStr">
        <is>
          <t>Ijara + kommunal</t>
        </is>
      </c>
      <c r="B5" s="5" t="n">
        <v>2000000</v>
      </c>
      <c r="C5" s="5" t="n">
        <v>2000000</v>
      </c>
      <c r="D5" s="5" t="n">
        <v>2000000</v>
      </c>
      <c r="E5" s="5" t="n">
        <v>2000000</v>
      </c>
      <c r="F5" s="5" t="n">
        <v>2000000</v>
      </c>
      <c r="G5" s="5" t="n">
        <v>2000000</v>
      </c>
      <c r="H5" s="5" t="n">
        <v>3000000</v>
      </c>
      <c r="I5" s="5" t="n">
        <v>3000000</v>
      </c>
      <c r="J5" s="5" t="n">
        <v>3000000</v>
      </c>
      <c r="K5" s="5" t="n">
        <v>3000000</v>
      </c>
      <c r="L5" s="5" t="n">
        <v>3000000</v>
      </c>
      <c r="M5" s="5" t="n">
        <v>3000000</v>
      </c>
      <c r="N5" s="5" t="n">
        <v>3000000</v>
      </c>
      <c r="O5" s="5" t="n">
        <v>3000000</v>
      </c>
      <c r="P5" s="5" t="n">
        <v>3000000</v>
      </c>
      <c r="Q5" s="5" t="n">
        <v>3000000</v>
      </c>
      <c r="R5" s="5" t="n">
        <v>3000000</v>
      </c>
      <c r="S5" s="5" t="n">
        <v>3000000</v>
      </c>
      <c r="T5" s="5" t="n">
        <v>3000000</v>
      </c>
      <c r="U5" s="5" t="n">
        <v>3000000</v>
      </c>
      <c r="V5" s="5" t="n">
        <v>3000000</v>
      </c>
      <c r="W5" s="5" t="n">
        <v>3000000</v>
      </c>
      <c r="X5" s="5" t="n">
        <v>3000000</v>
      </c>
      <c r="Y5" s="5" t="n">
        <v>3000000</v>
      </c>
      <c r="Z5" s="6" t="n">
        <v>66000000</v>
      </c>
    </row>
    <row r="6">
      <c r="A6" t="inlineStr">
        <is>
          <t>Elektr energiya</t>
        </is>
      </c>
      <c r="B6" s="5" t="n">
        <v>3000000</v>
      </c>
      <c r="C6" s="5" t="n">
        <v>3000000</v>
      </c>
      <c r="D6" s="5" t="n">
        <v>3000000</v>
      </c>
      <c r="E6" s="5" t="n">
        <v>6000000</v>
      </c>
      <c r="F6" s="5" t="n">
        <v>6000000</v>
      </c>
      <c r="G6" s="5" t="n">
        <v>6000000</v>
      </c>
      <c r="H6" s="5" t="n">
        <v>6000000</v>
      </c>
      <c r="I6" s="5" t="n">
        <v>6000000</v>
      </c>
      <c r="J6" s="5" t="n">
        <v>6000000</v>
      </c>
      <c r="K6" s="5" t="n">
        <v>6000000</v>
      </c>
      <c r="L6" s="5" t="n">
        <v>6000000</v>
      </c>
      <c r="M6" s="5" t="n">
        <v>6000000</v>
      </c>
      <c r="N6" s="5" t="n">
        <v>6000000</v>
      </c>
      <c r="O6" s="5" t="n">
        <v>6000000</v>
      </c>
      <c r="P6" s="5" t="n">
        <v>6000000</v>
      </c>
      <c r="Q6" s="5" t="n">
        <v>6000000</v>
      </c>
      <c r="R6" s="5" t="n">
        <v>6000000</v>
      </c>
      <c r="S6" s="5" t="n">
        <v>6000000</v>
      </c>
      <c r="T6" s="5" t="n">
        <v>6000000</v>
      </c>
      <c r="U6" s="5" t="n">
        <v>6000000</v>
      </c>
      <c r="V6" s="5" t="n">
        <v>6000000</v>
      </c>
      <c r="W6" s="5" t="n">
        <v>6000000</v>
      </c>
      <c r="X6" s="5" t="n">
        <v>6000000</v>
      </c>
      <c r="Y6" s="5" t="n">
        <v>6000000</v>
      </c>
      <c r="Z6" s="6" t="n">
        <v>135000000</v>
      </c>
    </row>
    <row r="7">
      <c r="A7" t="inlineStr">
        <is>
          <t>Materiallar</t>
        </is>
      </c>
      <c r="B7" s="5" t="n">
        <v>2000000</v>
      </c>
      <c r="C7" s="5" t="n">
        <v>2000000</v>
      </c>
      <c r="D7" s="5" t="n">
        <v>2000000</v>
      </c>
      <c r="E7" s="5" t="n">
        <v>3500000</v>
      </c>
      <c r="F7" s="5" t="n">
        <v>3500000</v>
      </c>
      <c r="G7" s="5" t="n">
        <v>3500000</v>
      </c>
      <c r="H7" s="5" t="n">
        <v>3500000</v>
      </c>
      <c r="I7" s="5" t="n">
        <v>3500000</v>
      </c>
      <c r="J7" s="5" t="n">
        <v>3500000</v>
      </c>
      <c r="K7" s="5" t="n">
        <v>3500000</v>
      </c>
      <c r="L7" s="5" t="n">
        <v>3500000</v>
      </c>
      <c r="M7" s="5" t="n">
        <v>3500000</v>
      </c>
      <c r="N7" s="5" t="n">
        <v>3500000</v>
      </c>
      <c r="O7" s="5" t="n">
        <v>3500000</v>
      </c>
      <c r="P7" s="5" t="n">
        <v>3500000</v>
      </c>
      <c r="Q7" s="5" t="n">
        <v>3500000</v>
      </c>
      <c r="R7" s="5" t="n">
        <v>3500000</v>
      </c>
      <c r="S7" s="5" t="n">
        <v>3500000</v>
      </c>
      <c r="T7" s="5" t="n">
        <v>3500000</v>
      </c>
      <c r="U7" s="5" t="n">
        <v>3500000</v>
      </c>
      <c r="V7" s="5" t="n">
        <v>3500000</v>
      </c>
      <c r="W7" s="5" t="n">
        <v>3500000</v>
      </c>
      <c r="X7" s="5" t="n">
        <v>3500000</v>
      </c>
      <c r="Y7" s="5" t="n">
        <v>3500000</v>
      </c>
      <c r="Z7" s="6" t="n">
        <v>79500000</v>
      </c>
    </row>
    <row r="8">
      <c r="A8" t="inlineStr">
        <is>
          <t>Marketing</t>
        </is>
      </c>
      <c r="B8" s="5" t="n">
        <v>1500000</v>
      </c>
      <c r="C8" s="5" t="n">
        <v>1500000</v>
      </c>
      <c r="D8" s="5" t="n">
        <v>1500000</v>
      </c>
      <c r="E8" s="5" t="n">
        <v>2000000</v>
      </c>
      <c r="F8" s="5" t="n">
        <v>2000000</v>
      </c>
      <c r="G8" s="5" t="n">
        <v>2000000</v>
      </c>
      <c r="H8" s="5" t="n">
        <v>2000000</v>
      </c>
      <c r="I8" s="5" t="n">
        <v>2000000</v>
      </c>
      <c r="J8" s="5" t="n">
        <v>2000000</v>
      </c>
      <c r="K8" s="5" t="n">
        <v>2000000</v>
      </c>
      <c r="L8" s="5" t="n">
        <v>2000000</v>
      </c>
      <c r="M8" s="5" t="n">
        <v>2000000</v>
      </c>
      <c r="N8" s="5" t="n">
        <v>2000000</v>
      </c>
      <c r="O8" s="5" t="n">
        <v>2000000</v>
      </c>
      <c r="P8" s="5" t="n">
        <v>2000000</v>
      </c>
      <c r="Q8" s="5" t="n">
        <v>2000000</v>
      </c>
      <c r="R8" s="5" t="n">
        <v>2000000</v>
      </c>
      <c r="S8" s="5" t="n">
        <v>2000000</v>
      </c>
      <c r="T8" s="5" t="n">
        <v>2000000</v>
      </c>
      <c r="U8" s="5" t="n">
        <v>2000000</v>
      </c>
      <c r="V8" s="5" t="n">
        <v>2000000</v>
      </c>
      <c r="W8" s="5" t="n">
        <v>2000000</v>
      </c>
      <c r="X8" s="5" t="n">
        <v>2000000</v>
      </c>
      <c r="Y8" s="5" t="n">
        <v>2000000</v>
      </c>
      <c r="Z8" s="6" t="n">
        <v>46500000</v>
      </c>
    </row>
    <row r="9">
      <c r="A9" t="inlineStr">
        <is>
          <t>Transport</t>
        </is>
      </c>
      <c r="B9" s="5" t="n">
        <v>1500000</v>
      </c>
      <c r="C9" s="5" t="n">
        <v>1500000</v>
      </c>
      <c r="D9" s="5" t="n">
        <v>1500000</v>
      </c>
      <c r="E9" s="5" t="n">
        <v>2000000</v>
      </c>
      <c r="F9" s="5" t="n">
        <v>2000000</v>
      </c>
      <c r="G9" s="5" t="n">
        <v>2000000</v>
      </c>
      <c r="H9" s="5" t="n">
        <v>2000000</v>
      </c>
      <c r="I9" s="5" t="n">
        <v>2000000</v>
      </c>
      <c r="J9" s="5" t="n">
        <v>2000000</v>
      </c>
      <c r="K9" s="5" t="n">
        <v>2000000</v>
      </c>
      <c r="L9" s="5" t="n">
        <v>2000000</v>
      </c>
      <c r="M9" s="5" t="n">
        <v>2000000</v>
      </c>
      <c r="N9" s="5" t="n">
        <v>2000000</v>
      </c>
      <c r="O9" s="5" t="n">
        <v>2000000</v>
      </c>
      <c r="P9" s="5" t="n">
        <v>2000000</v>
      </c>
      <c r="Q9" s="5" t="n">
        <v>2000000</v>
      </c>
      <c r="R9" s="5" t="n">
        <v>2000000</v>
      </c>
      <c r="S9" s="5" t="n">
        <v>2000000</v>
      </c>
      <c r="T9" s="5" t="n">
        <v>2000000</v>
      </c>
      <c r="U9" s="5" t="n">
        <v>2000000</v>
      </c>
      <c r="V9" s="5" t="n">
        <v>2000000</v>
      </c>
      <c r="W9" s="5" t="n">
        <v>2000000</v>
      </c>
      <c r="X9" s="5" t="n">
        <v>2000000</v>
      </c>
      <c r="Y9" s="5" t="n">
        <v>2000000</v>
      </c>
      <c r="Z9" s="6" t="n">
        <v>46500000</v>
      </c>
    </row>
    <row r="10">
      <c r="A10" t="inlineStr">
        <is>
          <t>Boshqa</t>
        </is>
      </c>
      <c r="B10" s="5" t="n">
        <v>500000</v>
      </c>
      <c r="C10" s="5" t="n">
        <v>500000</v>
      </c>
      <c r="D10" s="5" t="n">
        <v>500000</v>
      </c>
      <c r="E10" s="5" t="n">
        <v>800000</v>
      </c>
      <c r="F10" s="5" t="n">
        <v>800000</v>
      </c>
      <c r="G10" s="5" t="n">
        <v>800000</v>
      </c>
      <c r="H10" s="5" t="n">
        <v>800000</v>
      </c>
      <c r="I10" s="5" t="n">
        <v>800000</v>
      </c>
      <c r="J10" s="5" t="n">
        <v>800000</v>
      </c>
      <c r="K10" s="5" t="n">
        <v>800000</v>
      </c>
      <c r="L10" s="5" t="n">
        <v>800000</v>
      </c>
      <c r="M10" s="5" t="n">
        <v>800000</v>
      </c>
      <c r="N10" s="5" t="n">
        <v>800000</v>
      </c>
      <c r="O10" s="5" t="n">
        <v>800000</v>
      </c>
      <c r="P10" s="5" t="n">
        <v>800000</v>
      </c>
      <c r="Q10" s="5" t="n">
        <v>800000</v>
      </c>
      <c r="R10" s="5" t="n">
        <v>800000</v>
      </c>
      <c r="S10" s="5" t="n">
        <v>800000</v>
      </c>
      <c r="T10" s="5" t="n">
        <v>800000</v>
      </c>
      <c r="U10" s="5" t="n">
        <v>800000</v>
      </c>
      <c r="V10" s="5" t="n">
        <v>800000</v>
      </c>
      <c r="W10" s="5" t="n">
        <v>800000</v>
      </c>
      <c r="X10" s="5" t="n">
        <v>800000</v>
      </c>
      <c r="Y10" s="5" t="n">
        <v>800000</v>
      </c>
      <c r="Z10" s="6" t="n">
        <v>18300000</v>
      </c>
    </row>
    <row r="11">
      <c r="A11" t="inlineStr">
        <is>
          <t>Soliq (4%)</t>
        </is>
      </c>
      <c r="B11" s="5" t="n">
        <v>1600000</v>
      </c>
      <c r="C11" s="5" t="n">
        <v>1640000</v>
      </c>
      <c r="D11" s="5" t="n">
        <v>1740000</v>
      </c>
      <c r="E11" s="5" t="n">
        <v>2087500</v>
      </c>
      <c r="F11" s="5" t="n">
        <v>2475000</v>
      </c>
      <c r="G11" s="5" t="n">
        <v>2862500</v>
      </c>
      <c r="H11" s="5" t="n">
        <v>3250000</v>
      </c>
      <c r="I11" s="5" t="n">
        <v>3390000</v>
      </c>
      <c r="J11" s="5" t="n">
        <v>3530000</v>
      </c>
      <c r="K11" s="5" t="n">
        <v>3670000</v>
      </c>
      <c r="L11" s="5" t="n">
        <v>3810000</v>
      </c>
      <c r="M11" s="5" t="n">
        <v>3950000</v>
      </c>
      <c r="N11" s="5" t="n">
        <v>4090000</v>
      </c>
      <c r="O11" s="5" t="n">
        <v>4230000</v>
      </c>
      <c r="P11" s="5" t="n">
        <v>4370000</v>
      </c>
      <c r="Q11" s="5" t="n">
        <v>4510000</v>
      </c>
      <c r="R11" s="5" t="n">
        <v>4670000</v>
      </c>
      <c r="S11" s="5" t="n">
        <v>4830000</v>
      </c>
      <c r="T11" s="5" t="n">
        <v>4970000</v>
      </c>
      <c r="U11" s="5" t="n">
        <v>5110000</v>
      </c>
      <c r="V11" s="5" t="n">
        <v>5270000</v>
      </c>
      <c r="W11" s="5" t="n">
        <v>5410000</v>
      </c>
      <c r="X11" s="5" t="n">
        <v>5530000</v>
      </c>
      <c r="Y11" s="5" t="n">
        <v>5710000</v>
      </c>
      <c r="Z11" s="6" t="n">
        <v>92705000</v>
      </c>
    </row>
    <row r="12">
      <c r="A12" s="7" t="inlineStr">
        <is>
          <t>JAMI OPEX</t>
        </is>
      </c>
      <c r="B12" s="8" t="n">
        <v>18100000</v>
      </c>
      <c r="C12" s="8" t="n">
        <v>18140000</v>
      </c>
      <c r="D12" s="8" t="n">
        <v>18240000</v>
      </c>
      <c r="E12" s="8" t="n">
        <v>28387500</v>
      </c>
      <c r="F12" s="8" t="n">
        <v>28775000</v>
      </c>
      <c r="G12" s="8" t="n">
        <v>29162500</v>
      </c>
      <c r="H12" s="8" t="n">
        <v>30550000</v>
      </c>
      <c r="I12" s="8" t="n">
        <v>30690000</v>
      </c>
      <c r="J12" s="8" t="n">
        <v>30830000</v>
      </c>
      <c r="K12" s="8" t="n">
        <v>30970000</v>
      </c>
      <c r="L12" s="8" t="n">
        <v>31110000</v>
      </c>
      <c r="M12" s="8" t="n">
        <v>31250000</v>
      </c>
      <c r="N12" s="8" t="n">
        <v>31390000</v>
      </c>
      <c r="O12" s="8" t="n">
        <v>31530000</v>
      </c>
      <c r="P12" s="8" t="n">
        <v>31670000</v>
      </c>
      <c r="Q12" s="8" t="n">
        <v>31810000</v>
      </c>
      <c r="R12" s="8" t="n">
        <v>31970000</v>
      </c>
      <c r="S12" s="8" t="n">
        <v>32130000</v>
      </c>
      <c r="T12" s="8" t="n">
        <v>32270000</v>
      </c>
      <c r="U12" s="8" t="n">
        <v>32410000</v>
      </c>
      <c r="V12" s="8" t="n">
        <v>32570000</v>
      </c>
      <c r="W12" s="8" t="n">
        <v>32710000</v>
      </c>
      <c r="X12" s="8" t="n">
        <v>32830000</v>
      </c>
      <c r="Y12" s="8" t="n">
        <v>33010000</v>
      </c>
      <c r="Z12" s="6" t="n">
        <v>712505000</v>
      </c>
    </row>
    <row r="14">
      <c r="A14" t="inlineStr">
        <is>
          <t>COGS (tannarx)</t>
        </is>
      </c>
      <c r="B14" s="5" t="n">
        <v>12000000</v>
      </c>
      <c r="C14" s="5" t="n">
        <v>12300000</v>
      </c>
      <c r="D14" s="5" t="n">
        <v>13050000</v>
      </c>
      <c r="E14" s="5" t="n">
        <v>16584375</v>
      </c>
      <c r="F14" s="5" t="n">
        <v>20418750</v>
      </c>
      <c r="G14" s="5" t="n">
        <v>24253125</v>
      </c>
      <c r="H14" s="5" t="n">
        <v>28087500</v>
      </c>
      <c r="I14" s="5" t="n">
        <v>29137500</v>
      </c>
      <c r="J14" s="5" t="n">
        <v>30187500</v>
      </c>
      <c r="K14" s="5" t="n">
        <v>31237500</v>
      </c>
      <c r="L14" s="5" t="n">
        <v>32287500</v>
      </c>
      <c r="M14" s="5" t="n">
        <v>33337500</v>
      </c>
      <c r="N14" s="5" t="n">
        <v>34387500</v>
      </c>
      <c r="O14" s="5" t="n">
        <v>35437500</v>
      </c>
      <c r="P14" s="5" t="n">
        <v>36487500</v>
      </c>
      <c r="Q14" s="5" t="n">
        <v>37537500</v>
      </c>
      <c r="R14" s="5" t="n">
        <v>38737500</v>
      </c>
      <c r="S14" s="5" t="n">
        <v>39937500</v>
      </c>
      <c r="T14" s="5" t="n">
        <v>40987500</v>
      </c>
      <c r="U14" s="5" t="n">
        <v>42037500</v>
      </c>
      <c r="V14" s="5" t="n">
        <v>43237500</v>
      </c>
      <c r="W14" s="5" t="n">
        <v>44287500</v>
      </c>
      <c r="X14" s="5" t="n">
        <v>45187500</v>
      </c>
      <c r="Y14" s="5" t="n">
        <v>46537500</v>
      </c>
      <c r="Z14" s="6" t="n">
        <v>767681250</v>
      </c>
    </row>
    <row r="15">
      <c r="A15" s="7" t="inlineStr">
        <is>
          <t>Brutto foyda</t>
        </is>
      </c>
      <c r="B15" s="8" t="n">
        <v>28000000</v>
      </c>
      <c r="C15" s="8" t="n">
        <v>28700000</v>
      </c>
      <c r="D15" s="8" t="n">
        <v>30450000</v>
      </c>
      <c r="E15" s="8" t="n">
        <v>35603125</v>
      </c>
      <c r="F15" s="8" t="n">
        <v>41456250</v>
      </c>
      <c r="G15" s="8" t="n">
        <v>47309375</v>
      </c>
      <c r="H15" s="8" t="n">
        <v>53162500</v>
      </c>
      <c r="I15" s="8" t="n">
        <v>55612500</v>
      </c>
      <c r="J15" s="8" t="n">
        <v>58062500</v>
      </c>
      <c r="K15" s="8" t="n">
        <v>60512500</v>
      </c>
      <c r="L15" s="8" t="n">
        <v>62962500</v>
      </c>
      <c r="M15" s="8" t="n">
        <v>65412500</v>
      </c>
      <c r="N15" s="8" t="n">
        <v>67862500</v>
      </c>
      <c r="O15" s="8" t="n">
        <v>70312500</v>
      </c>
      <c r="P15" s="8" t="n">
        <v>72762500</v>
      </c>
      <c r="Q15" s="8" t="n">
        <v>75212500</v>
      </c>
      <c r="R15" s="8" t="n">
        <v>78012500</v>
      </c>
      <c r="S15" s="8" t="n">
        <v>80812500</v>
      </c>
      <c r="T15" s="8" t="n">
        <v>83262500</v>
      </c>
      <c r="U15" s="8" t="n">
        <v>85712500</v>
      </c>
      <c r="V15" s="8" t="n">
        <v>88512500</v>
      </c>
      <c r="W15" s="8" t="n">
        <v>90962500</v>
      </c>
      <c r="X15" s="8" t="n">
        <v>93062500</v>
      </c>
      <c r="Y15" s="8" t="n">
        <v>96212500</v>
      </c>
      <c r="Z15" s="6" t="n">
        <v>1549943750</v>
      </c>
    </row>
    <row r="16">
      <c r="A16" t="inlineStr">
        <is>
          <t>Brutto marja (%)</t>
        </is>
      </c>
      <c r="B16" s="9" t="n">
        <v>70</v>
      </c>
      <c r="C16" s="9" t="n">
        <v>70</v>
      </c>
      <c r="D16" s="9" t="n">
        <v>70</v>
      </c>
      <c r="E16" s="9" t="n">
        <v>68.2</v>
      </c>
      <c r="F16" s="9" t="n">
        <v>67</v>
      </c>
      <c r="G16" s="9" t="n">
        <v>66.09999999999999</v>
      </c>
      <c r="H16" s="9" t="n">
        <v>65.40000000000001</v>
      </c>
      <c r="I16" s="9" t="n">
        <v>65.59999999999999</v>
      </c>
      <c r="J16" s="9" t="n">
        <v>65.8</v>
      </c>
      <c r="K16" s="9" t="n">
        <v>66</v>
      </c>
      <c r="L16" s="9" t="n">
        <v>66.09999999999999</v>
      </c>
      <c r="M16" s="9" t="n">
        <v>66.2</v>
      </c>
      <c r="N16" s="9" t="n">
        <v>66.40000000000001</v>
      </c>
      <c r="O16" s="9" t="n">
        <v>66.5</v>
      </c>
      <c r="P16" s="9" t="n">
        <v>66.59999999999999</v>
      </c>
      <c r="Q16" s="9" t="n">
        <v>66.7</v>
      </c>
      <c r="R16" s="9" t="n">
        <v>66.8</v>
      </c>
      <c r="S16" s="9" t="n">
        <v>66.90000000000001</v>
      </c>
      <c r="T16" s="9" t="n">
        <v>67</v>
      </c>
      <c r="U16" s="9" t="n">
        <v>67.09999999999999</v>
      </c>
      <c r="V16" s="9" t="n">
        <v>67.2</v>
      </c>
      <c r="W16" s="9" t="n">
        <v>67.3</v>
      </c>
      <c r="X16" s="9" t="n">
        <v>67.3</v>
      </c>
      <c r="Y16" s="9" t="n">
        <v>67.40000000000001</v>
      </c>
      <c r="Z16" s="10" t="n">
        <v>66.90000000000001</v>
      </c>
    </row>
  </sheetData>
  <mergeCells count="1">
    <mergeCell ref="A1:Z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Z14"/>
  <sheetViews>
    <sheetView workbookViewId="0">
      <selection activeCell="A1" sqref="A1"/>
    </sheetView>
  </sheetViews>
  <sheetFormatPr baseColWidth="8" defaultRowHeight="15"/>
  <cols>
    <col width="2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</cols>
  <sheetData>
    <row r="1" ht="22" customHeight="1">
      <c r="A1" s="1" t="inlineStr">
        <is>
          <t>5. AYLANMA MABLAG' — investitsiyaning to'liq taqsimoti</t>
        </is>
      </c>
    </row>
    <row r="3">
      <c r="A3" s="2" t="inlineStr">
        <is>
          <t>Ko'rsatkich (UZS)</t>
        </is>
      </c>
      <c r="B3" s="3" t="inlineStr">
        <is>
          <t>Sep'26</t>
        </is>
      </c>
      <c r="C3" s="3" t="inlineStr">
        <is>
          <t>Oct'26</t>
        </is>
      </c>
      <c r="D3" s="3" t="inlineStr">
        <is>
          <t>Nov'26</t>
        </is>
      </c>
      <c r="E3" s="3" t="inlineStr">
        <is>
          <t>Dec'26</t>
        </is>
      </c>
      <c r="F3" s="3" t="inlineStr">
        <is>
          <t>Jan'27</t>
        </is>
      </c>
      <c r="G3" s="3" t="inlineStr">
        <is>
          <t>Feb'27</t>
        </is>
      </c>
      <c r="H3" s="3" t="inlineStr">
        <is>
          <t>Mar'27</t>
        </is>
      </c>
      <c r="I3" s="3" t="inlineStr">
        <is>
          <t>Apr'27</t>
        </is>
      </c>
      <c r="J3" s="3" t="inlineStr">
        <is>
          <t>May'27</t>
        </is>
      </c>
      <c r="K3" s="3" t="inlineStr">
        <is>
          <t>Jun'27</t>
        </is>
      </c>
      <c r="L3" s="3" t="inlineStr">
        <is>
          <t>Jul'27</t>
        </is>
      </c>
      <c r="M3" s="3" t="inlineStr">
        <is>
          <t>Aug'27</t>
        </is>
      </c>
      <c r="N3" s="3" t="inlineStr">
        <is>
          <t>Sep'27</t>
        </is>
      </c>
      <c r="O3" s="3" t="inlineStr">
        <is>
          <t>Oct'27</t>
        </is>
      </c>
      <c r="P3" s="3" t="inlineStr">
        <is>
          <t>Nov'27</t>
        </is>
      </c>
      <c r="Q3" s="3" t="inlineStr">
        <is>
          <t>Dec'27</t>
        </is>
      </c>
      <c r="R3" s="3" t="inlineStr">
        <is>
          <t>Jan'28</t>
        </is>
      </c>
      <c r="S3" s="3" t="inlineStr">
        <is>
          <t>Feb'28</t>
        </is>
      </c>
      <c r="T3" s="3" t="inlineStr">
        <is>
          <t>Mar'28</t>
        </is>
      </c>
      <c r="U3" s="3" t="inlineStr">
        <is>
          <t>Apr'28</t>
        </is>
      </c>
      <c r="V3" s="3" t="inlineStr">
        <is>
          <t>May'28</t>
        </is>
      </c>
      <c r="W3" s="3" t="inlineStr">
        <is>
          <t>Jun'28</t>
        </is>
      </c>
      <c r="X3" s="3" t="inlineStr">
        <is>
          <t>Jul'28</t>
        </is>
      </c>
      <c r="Y3" s="3" t="inlineStr">
        <is>
          <t>Aug'28</t>
        </is>
      </c>
      <c r="Z3" s="4" t="inlineStr">
        <is>
          <t>JAMI</t>
        </is>
      </c>
    </row>
    <row r="4">
      <c r="A4" t="inlineStr">
        <is>
          <t>Investitsiya kirimi</t>
        </is>
      </c>
      <c r="B4" s="5" t="n">
        <v>455000000</v>
      </c>
      <c r="C4" s="5" t="n">
        <v>0</v>
      </c>
      <c r="D4" s="5" t="n">
        <v>0</v>
      </c>
      <c r="E4" s="5" t="n">
        <v>0</v>
      </c>
      <c r="F4" s="5" t="n">
        <v>0</v>
      </c>
      <c r="G4" s="5" t="n">
        <v>0</v>
      </c>
      <c r="H4" s="5" t="n">
        <v>0</v>
      </c>
      <c r="I4" s="5" t="n">
        <v>0</v>
      </c>
      <c r="J4" s="5" t="n">
        <v>0</v>
      </c>
      <c r="K4" s="5" t="n">
        <v>0</v>
      </c>
      <c r="L4" s="5" t="n">
        <v>0</v>
      </c>
      <c r="M4" s="5" t="n">
        <v>0</v>
      </c>
      <c r="N4" s="5" t="n">
        <v>0</v>
      </c>
      <c r="O4" s="5" t="n">
        <v>0</v>
      </c>
      <c r="P4" s="5" t="n">
        <v>0</v>
      </c>
      <c r="Q4" s="5" t="n">
        <v>0</v>
      </c>
      <c r="R4" s="5" t="n">
        <v>0</v>
      </c>
      <c r="S4" s="5" t="n">
        <v>0</v>
      </c>
      <c r="T4" s="5" t="n">
        <v>0</v>
      </c>
      <c r="U4" s="5" t="n">
        <v>0</v>
      </c>
      <c r="V4" s="5" t="n">
        <v>0</v>
      </c>
      <c r="W4" s="5" t="n">
        <v>0</v>
      </c>
      <c r="X4" s="5" t="n">
        <v>0</v>
      </c>
      <c r="Y4" s="5" t="n">
        <v>0</v>
      </c>
      <c r="Z4" s="6" t="n">
        <v>455000000</v>
      </c>
    </row>
    <row r="5">
      <c r="A5" t="inlineStr">
        <is>
          <t>Daromad kirimi</t>
        </is>
      </c>
      <c r="B5" s="5" t="n">
        <v>40000000</v>
      </c>
      <c r="C5" s="5" t="n">
        <v>41000000</v>
      </c>
      <c r="D5" s="5" t="n">
        <v>43500000</v>
      </c>
      <c r="E5" s="5" t="n">
        <v>52187500</v>
      </c>
      <c r="F5" s="5" t="n">
        <v>61875000</v>
      </c>
      <c r="G5" s="5" t="n">
        <v>71562500</v>
      </c>
      <c r="H5" s="5" t="n">
        <v>81250000</v>
      </c>
      <c r="I5" s="5" t="n">
        <v>84750000</v>
      </c>
      <c r="J5" s="5" t="n">
        <v>88250000</v>
      </c>
      <c r="K5" s="5" t="n">
        <v>91750000</v>
      </c>
      <c r="L5" s="5" t="n">
        <v>95250000</v>
      </c>
      <c r="M5" s="5" t="n">
        <v>98750000</v>
      </c>
      <c r="N5" s="5" t="n">
        <v>102250000</v>
      </c>
      <c r="O5" s="5" t="n">
        <v>105750000</v>
      </c>
      <c r="P5" s="5" t="n">
        <v>109250000</v>
      </c>
      <c r="Q5" s="5" t="n">
        <v>112750000</v>
      </c>
      <c r="R5" s="5" t="n">
        <v>116750000</v>
      </c>
      <c r="S5" s="5" t="n">
        <v>120750000</v>
      </c>
      <c r="T5" s="5" t="n">
        <v>124250000</v>
      </c>
      <c r="U5" s="5" t="n">
        <v>127750000</v>
      </c>
      <c r="V5" s="5" t="n">
        <v>131750000</v>
      </c>
      <c r="W5" s="5" t="n">
        <v>135250000</v>
      </c>
      <c r="X5" s="5" t="n">
        <v>138250000</v>
      </c>
      <c r="Y5" s="5" t="n">
        <v>142750000</v>
      </c>
      <c r="Z5" s="6" t="n">
        <v>2317625000</v>
      </c>
    </row>
    <row r="6">
      <c r="A6" s="7" t="inlineStr">
        <is>
          <t>JAMI KIRIM</t>
        </is>
      </c>
      <c r="B6" s="8" t="n">
        <v>495000000</v>
      </c>
      <c r="C6" s="8" t="n">
        <v>41000000</v>
      </c>
      <c r="D6" s="8" t="n">
        <v>43500000</v>
      </c>
      <c r="E6" s="8" t="n">
        <v>52187500</v>
      </c>
      <c r="F6" s="8" t="n">
        <v>61875000</v>
      </c>
      <c r="G6" s="8" t="n">
        <v>71562500</v>
      </c>
      <c r="H6" s="8" t="n">
        <v>81250000</v>
      </c>
      <c r="I6" s="8" t="n">
        <v>84750000</v>
      </c>
      <c r="J6" s="8" t="n">
        <v>88250000</v>
      </c>
      <c r="K6" s="8" t="n">
        <v>91750000</v>
      </c>
      <c r="L6" s="8" t="n">
        <v>95250000</v>
      </c>
      <c r="M6" s="8" t="n">
        <v>98750000</v>
      </c>
      <c r="N6" s="8" t="n">
        <v>102250000</v>
      </c>
      <c r="O6" s="8" t="n">
        <v>105750000</v>
      </c>
      <c r="P6" s="8" t="n">
        <v>109250000</v>
      </c>
      <c r="Q6" s="8" t="n">
        <v>112750000</v>
      </c>
      <c r="R6" s="8" t="n">
        <v>116750000</v>
      </c>
      <c r="S6" s="8" t="n">
        <v>120750000</v>
      </c>
      <c r="T6" s="8" t="n">
        <v>124250000</v>
      </c>
      <c r="U6" s="8" t="n">
        <v>127750000</v>
      </c>
      <c r="V6" s="8" t="n">
        <v>131750000</v>
      </c>
      <c r="W6" s="8" t="n">
        <v>135250000</v>
      </c>
      <c r="X6" s="8" t="n">
        <v>138250000</v>
      </c>
      <c r="Y6" s="8" t="n">
        <v>142750000</v>
      </c>
      <c r="Z6" s="6" t="n">
        <v>2772625000</v>
      </c>
    </row>
    <row r="8">
      <c r="A8" t="inlineStr">
        <is>
          <t>CAPEX (uskunalar)</t>
        </is>
      </c>
      <c r="B8" s="5" t="n">
        <v>207779000</v>
      </c>
      <c r="C8" s="5" t="n">
        <v>0</v>
      </c>
      <c r="D8" s="5" t="n">
        <v>0</v>
      </c>
      <c r="E8" s="5" t="n">
        <v>0</v>
      </c>
      <c r="F8" s="5" t="n">
        <v>0</v>
      </c>
      <c r="G8" s="5" t="n">
        <v>0</v>
      </c>
      <c r="H8" s="5" t="n">
        <v>0</v>
      </c>
      <c r="I8" s="5" t="n">
        <v>0</v>
      </c>
      <c r="J8" s="5" t="n">
        <v>0</v>
      </c>
      <c r="K8" s="5" t="n">
        <v>0</v>
      </c>
      <c r="L8" s="5" t="n">
        <v>0</v>
      </c>
      <c r="M8" s="5" t="n">
        <v>0</v>
      </c>
      <c r="N8" s="5" t="n">
        <v>0</v>
      </c>
      <c r="O8" s="5" t="n">
        <v>0</v>
      </c>
      <c r="P8" s="5" t="n">
        <v>0</v>
      </c>
      <c r="Q8" s="5" t="n">
        <v>0</v>
      </c>
      <c r="R8" s="5" t="n">
        <v>0</v>
      </c>
      <c r="S8" s="5" t="n">
        <v>0</v>
      </c>
      <c r="T8" s="5" t="n">
        <v>0</v>
      </c>
      <c r="U8" s="5" t="n">
        <v>0</v>
      </c>
      <c r="V8" s="5" t="n">
        <v>0</v>
      </c>
      <c r="W8" s="5" t="n">
        <v>0</v>
      </c>
      <c r="X8" s="5" t="n">
        <v>0</v>
      </c>
      <c r="Y8" s="5" t="n">
        <v>0</v>
      </c>
      <c r="Z8" s="6" t="n">
        <v>207779000</v>
      </c>
    </row>
    <row r="9">
      <c r="A9" t="inlineStr">
        <is>
          <t>Bino tayyorlash</t>
        </is>
      </c>
      <c r="B9" s="5" t="n">
        <v>49790000</v>
      </c>
      <c r="C9" s="5" t="n">
        <v>0</v>
      </c>
      <c r="D9" s="5" t="n">
        <v>0</v>
      </c>
      <c r="E9" s="5" t="n">
        <v>0</v>
      </c>
      <c r="F9" s="5" t="n">
        <v>0</v>
      </c>
      <c r="G9" s="5" t="n">
        <v>0</v>
      </c>
      <c r="H9" s="5" t="n">
        <v>0</v>
      </c>
      <c r="I9" s="5" t="n">
        <v>0</v>
      </c>
      <c r="J9" s="5" t="n">
        <v>0</v>
      </c>
      <c r="K9" s="5" t="n">
        <v>0</v>
      </c>
      <c r="L9" s="5" t="n">
        <v>0</v>
      </c>
      <c r="M9" s="5" t="n">
        <v>0</v>
      </c>
      <c r="N9" s="5" t="n">
        <v>0</v>
      </c>
      <c r="O9" s="5" t="n">
        <v>0</v>
      </c>
      <c r="P9" s="5" t="n">
        <v>0</v>
      </c>
      <c r="Q9" s="5" t="n">
        <v>0</v>
      </c>
      <c r="R9" s="5" t="n">
        <v>0</v>
      </c>
      <c r="S9" s="5" t="n">
        <v>0</v>
      </c>
      <c r="T9" s="5" t="n">
        <v>0</v>
      </c>
      <c r="U9" s="5" t="n">
        <v>0</v>
      </c>
      <c r="V9" s="5" t="n">
        <v>0</v>
      </c>
      <c r="W9" s="5" t="n">
        <v>0</v>
      </c>
      <c r="X9" s="5" t="n">
        <v>0</v>
      </c>
      <c r="Y9" s="5" t="n">
        <v>0</v>
      </c>
      <c r="Z9" s="6" t="n">
        <v>49790000</v>
      </c>
    </row>
    <row r="10">
      <c r="A10" t="inlineStr">
        <is>
          <t>OPEX</t>
        </is>
      </c>
      <c r="B10" s="5" t="n">
        <v>18100000</v>
      </c>
      <c r="C10" s="5" t="n">
        <v>18140000</v>
      </c>
      <c r="D10" s="5" t="n">
        <v>18240000</v>
      </c>
      <c r="E10" s="5" t="n">
        <v>28387500</v>
      </c>
      <c r="F10" s="5" t="n">
        <v>28775000</v>
      </c>
      <c r="G10" s="5" t="n">
        <v>29162500</v>
      </c>
      <c r="H10" s="5" t="n">
        <v>30550000</v>
      </c>
      <c r="I10" s="5" t="n">
        <v>30690000</v>
      </c>
      <c r="J10" s="5" t="n">
        <v>30830000</v>
      </c>
      <c r="K10" s="5" t="n">
        <v>30970000</v>
      </c>
      <c r="L10" s="5" t="n">
        <v>31110000</v>
      </c>
      <c r="M10" s="5" t="n">
        <v>31250000</v>
      </c>
      <c r="N10" s="5" t="n">
        <v>31390000</v>
      </c>
      <c r="O10" s="5" t="n">
        <v>31530000</v>
      </c>
      <c r="P10" s="5" t="n">
        <v>31670000</v>
      </c>
      <c r="Q10" s="5" t="n">
        <v>31810000</v>
      </c>
      <c r="R10" s="5" t="n">
        <v>31970000</v>
      </c>
      <c r="S10" s="5" t="n">
        <v>32130000</v>
      </c>
      <c r="T10" s="5" t="n">
        <v>32270000</v>
      </c>
      <c r="U10" s="5" t="n">
        <v>32410000</v>
      </c>
      <c r="V10" s="5" t="n">
        <v>32570000</v>
      </c>
      <c r="W10" s="5" t="n">
        <v>32710000</v>
      </c>
      <c r="X10" s="5" t="n">
        <v>32830000</v>
      </c>
      <c r="Y10" s="5" t="n">
        <v>33010000</v>
      </c>
      <c r="Z10" s="6" t="n">
        <v>712505000</v>
      </c>
    </row>
    <row r="11">
      <c r="A11" s="7" t="inlineStr">
        <is>
          <t>JAMI CHIQIM</t>
        </is>
      </c>
      <c r="B11" s="8" t="n">
        <v>275669000</v>
      </c>
      <c r="C11" s="8" t="n">
        <v>18140000</v>
      </c>
      <c r="D11" s="8" t="n">
        <v>18240000</v>
      </c>
      <c r="E11" s="8" t="n">
        <v>28387500</v>
      </c>
      <c r="F11" s="8" t="n">
        <v>28775000</v>
      </c>
      <c r="G11" s="8" t="n">
        <v>29162500</v>
      </c>
      <c r="H11" s="8" t="n">
        <v>30550000</v>
      </c>
      <c r="I11" s="8" t="n">
        <v>30690000</v>
      </c>
      <c r="J11" s="8" t="n">
        <v>30830000</v>
      </c>
      <c r="K11" s="8" t="n">
        <v>30970000</v>
      </c>
      <c r="L11" s="8" t="n">
        <v>31110000</v>
      </c>
      <c r="M11" s="8" t="n">
        <v>31250000</v>
      </c>
      <c r="N11" s="8" t="n">
        <v>31390000</v>
      </c>
      <c r="O11" s="8" t="n">
        <v>31530000</v>
      </c>
      <c r="P11" s="8" t="n">
        <v>31670000</v>
      </c>
      <c r="Q11" s="8" t="n">
        <v>31810000</v>
      </c>
      <c r="R11" s="8" t="n">
        <v>31970000</v>
      </c>
      <c r="S11" s="8" t="n">
        <v>32130000</v>
      </c>
      <c r="T11" s="8" t="n">
        <v>32270000</v>
      </c>
      <c r="U11" s="8" t="n">
        <v>32410000</v>
      </c>
      <c r="V11" s="8" t="n">
        <v>32570000</v>
      </c>
      <c r="W11" s="8" t="n">
        <v>32710000</v>
      </c>
      <c r="X11" s="8" t="n">
        <v>32830000</v>
      </c>
      <c r="Y11" s="8" t="n">
        <v>33010000</v>
      </c>
      <c r="Z11" s="6" t="n">
        <v>970074000</v>
      </c>
    </row>
    <row r="13">
      <c r="A13" s="7" t="inlineStr">
        <is>
          <t>SOF PUL OQIMI</t>
        </is>
      </c>
      <c r="B13" s="8" t="n">
        <v>219331000</v>
      </c>
      <c r="C13" s="8" t="n">
        <v>22860000</v>
      </c>
      <c r="D13" s="8" t="n">
        <v>25260000</v>
      </c>
      <c r="E13" s="8" t="n">
        <v>23800000</v>
      </c>
      <c r="F13" s="8" t="n">
        <v>33100000</v>
      </c>
      <c r="G13" s="8" t="n">
        <v>42400000</v>
      </c>
      <c r="H13" s="8" t="n">
        <v>50700000</v>
      </c>
      <c r="I13" s="8" t="n">
        <v>54060000</v>
      </c>
      <c r="J13" s="8" t="n">
        <v>57420000</v>
      </c>
      <c r="K13" s="8" t="n">
        <v>60780000</v>
      </c>
      <c r="L13" s="8" t="n">
        <v>64140000</v>
      </c>
      <c r="M13" s="8" t="n">
        <v>67500000</v>
      </c>
      <c r="N13" s="8" t="n">
        <v>70860000</v>
      </c>
      <c r="O13" s="8" t="n">
        <v>74220000</v>
      </c>
      <c r="P13" s="8" t="n">
        <v>77580000</v>
      </c>
      <c r="Q13" s="8" t="n">
        <v>80940000</v>
      </c>
      <c r="R13" s="8" t="n">
        <v>84780000</v>
      </c>
      <c r="S13" s="8" t="n">
        <v>88620000</v>
      </c>
      <c r="T13" s="8" t="n">
        <v>91980000</v>
      </c>
      <c r="U13" s="8" t="n">
        <v>95340000</v>
      </c>
      <c r="V13" s="8" t="n">
        <v>99180000</v>
      </c>
      <c r="W13" s="8" t="n">
        <v>102540000</v>
      </c>
      <c r="X13" s="8" t="n">
        <v>105420000</v>
      </c>
      <c r="Y13" s="8" t="n">
        <v>109740000</v>
      </c>
      <c r="Z13" s="6" t="n">
        <v>1802551000</v>
      </c>
    </row>
    <row r="14">
      <c r="A14" s="7" t="inlineStr">
        <is>
          <t>KASSA QOLDIG'I</t>
        </is>
      </c>
      <c r="B14" s="8" t="n">
        <v>224331000</v>
      </c>
      <c r="C14" s="8" t="n">
        <v>247191000</v>
      </c>
      <c r="D14" s="8" t="n">
        <v>272451000</v>
      </c>
      <c r="E14" s="8" t="n">
        <v>296251000</v>
      </c>
      <c r="F14" s="8" t="n">
        <v>329351000</v>
      </c>
      <c r="G14" s="8" t="n">
        <v>371751000</v>
      </c>
      <c r="H14" s="8" t="n">
        <v>422451000</v>
      </c>
      <c r="I14" s="8" t="n">
        <v>476511000</v>
      </c>
      <c r="J14" s="8" t="n">
        <v>533931000</v>
      </c>
      <c r="K14" s="8" t="n">
        <v>594711000</v>
      </c>
      <c r="L14" s="8" t="n">
        <v>658851000</v>
      </c>
      <c r="M14" s="8" t="n">
        <v>726351000</v>
      </c>
      <c r="N14" s="8" t="n">
        <v>797211000</v>
      </c>
      <c r="O14" s="8" t="n">
        <v>871431000</v>
      </c>
      <c r="P14" s="8" t="n">
        <v>949011000</v>
      </c>
      <c r="Q14" s="8" t="n">
        <v>1029951000</v>
      </c>
      <c r="R14" s="8" t="n">
        <v>1114731000</v>
      </c>
      <c r="S14" s="8" t="n">
        <v>1203351000</v>
      </c>
      <c r="T14" s="8" t="n">
        <v>1295331000</v>
      </c>
      <c r="U14" s="8" t="n">
        <v>1390671000</v>
      </c>
      <c r="V14" s="8" t="n">
        <v>1489851000</v>
      </c>
      <c r="W14" s="8" t="n">
        <v>1592391000</v>
      </c>
      <c r="X14" s="8" t="n">
        <v>1697811000</v>
      </c>
      <c r="Y14" s="8" t="n">
        <v>1807551000</v>
      </c>
      <c r="Z14" s="6" t="n">
        <v>1807551000</v>
      </c>
    </row>
  </sheetData>
  <mergeCells count="1">
    <mergeCell ref="A1:Z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Z15"/>
  <sheetViews>
    <sheetView workbookViewId="0">
      <selection activeCell="A1" sqref="A1"/>
    </sheetView>
  </sheetViews>
  <sheetFormatPr baseColWidth="8" defaultRowHeight="15"/>
  <cols>
    <col width="2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</cols>
  <sheetData>
    <row r="1" ht="22" customHeight="1">
      <c r="A1" s="1" t="inlineStr">
        <is>
          <t>6. SOF FOYDA (P&amp;L)</t>
        </is>
      </c>
    </row>
    <row r="3">
      <c r="A3" s="2" t="inlineStr">
        <is>
          <t>P&amp;L (UZS)</t>
        </is>
      </c>
      <c r="B3" s="3" t="inlineStr">
        <is>
          <t>Sep'26</t>
        </is>
      </c>
      <c r="C3" s="3" t="inlineStr">
        <is>
          <t>Oct'26</t>
        </is>
      </c>
      <c r="D3" s="3" t="inlineStr">
        <is>
          <t>Nov'26</t>
        </is>
      </c>
      <c r="E3" s="3" t="inlineStr">
        <is>
          <t>Dec'26</t>
        </is>
      </c>
      <c r="F3" s="3" t="inlineStr">
        <is>
          <t>Jan'27</t>
        </is>
      </c>
      <c r="G3" s="3" t="inlineStr">
        <is>
          <t>Feb'27</t>
        </is>
      </c>
      <c r="H3" s="3" t="inlineStr">
        <is>
          <t>Mar'27</t>
        </is>
      </c>
      <c r="I3" s="3" t="inlineStr">
        <is>
          <t>Apr'27</t>
        </is>
      </c>
      <c r="J3" s="3" t="inlineStr">
        <is>
          <t>May'27</t>
        </is>
      </c>
      <c r="K3" s="3" t="inlineStr">
        <is>
          <t>Jun'27</t>
        </is>
      </c>
      <c r="L3" s="3" t="inlineStr">
        <is>
          <t>Jul'27</t>
        </is>
      </c>
      <c r="M3" s="3" t="inlineStr">
        <is>
          <t>Aug'27</t>
        </is>
      </c>
      <c r="N3" s="3" t="inlineStr">
        <is>
          <t>Sep'27</t>
        </is>
      </c>
      <c r="O3" s="3" t="inlineStr">
        <is>
          <t>Oct'27</t>
        </is>
      </c>
      <c r="P3" s="3" t="inlineStr">
        <is>
          <t>Nov'27</t>
        </is>
      </c>
      <c r="Q3" s="3" t="inlineStr">
        <is>
          <t>Dec'27</t>
        </is>
      </c>
      <c r="R3" s="3" t="inlineStr">
        <is>
          <t>Jan'28</t>
        </is>
      </c>
      <c r="S3" s="3" t="inlineStr">
        <is>
          <t>Feb'28</t>
        </is>
      </c>
      <c r="T3" s="3" t="inlineStr">
        <is>
          <t>Mar'28</t>
        </is>
      </c>
      <c r="U3" s="3" t="inlineStr">
        <is>
          <t>Apr'28</t>
        </is>
      </c>
      <c r="V3" s="3" t="inlineStr">
        <is>
          <t>May'28</t>
        </is>
      </c>
      <c r="W3" s="3" t="inlineStr">
        <is>
          <t>Jun'28</t>
        </is>
      </c>
      <c r="X3" s="3" t="inlineStr">
        <is>
          <t>Jul'28</t>
        </is>
      </c>
      <c r="Y3" s="3" t="inlineStr">
        <is>
          <t>Aug'28</t>
        </is>
      </c>
      <c r="Z3" s="4" t="inlineStr">
        <is>
          <t>JAMI</t>
        </is>
      </c>
    </row>
    <row r="4">
      <c r="A4" t="inlineStr">
        <is>
          <t>Jami daromad</t>
        </is>
      </c>
      <c r="B4" s="5" t="n">
        <v>40000000</v>
      </c>
      <c r="C4" s="5" t="n">
        <v>41000000</v>
      </c>
      <c r="D4" s="5" t="n">
        <v>43500000</v>
      </c>
      <c r="E4" s="5" t="n">
        <v>52187500</v>
      </c>
      <c r="F4" s="5" t="n">
        <v>61875000</v>
      </c>
      <c r="G4" s="5" t="n">
        <v>71562500</v>
      </c>
      <c r="H4" s="5" t="n">
        <v>81250000</v>
      </c>
      <c r="I4" s="5" t="n">
        <v>84750000</v>
      </c>
      <c r="J4" s="5" t="n">
        <v>88250000</v>
      </c>
      <c r="K4" s="5" t="n">
        <v>91750000</v>
      </c>
      <c r="L4" s="5" t="n">
        <v>95250000</v>
      </c>
      <c r="M4" s="5" t="n">
        <v>98750000</v>
      </c>
      <c r="N4" s="5" t="n">
        <v>102250000</v>
      </c>
      <c r="O4" s="5" t="n">
        <v>105750000</v>
      </c>
      <c r="P4" s="5" t="n">
        <v>109250000</v>
      </c>
      <c r="Q4" s="5" t="n">
        <v>112750000</v>
      </c>
      <c r="R4" s="5" t="n">
        <v>116750000</v>
      </c>
      <c r="S4" s="5" t="n">
        <v>120750000</v>
      </c>
      <c r="T4" s="5" t="n">
        <v>124250000</v>
      </c>
      <c r="U4" s="5" t="n">
        <v>127750000</v>
      </c>
      <c r="V4" s="5" t="n">
        <v>131750000</v>
      </c>
      <c r="W4" s="5" t="n">
        <v>135250000</v>
      </c>
      <c r="X4" s="5" t="n">
        <v>138250000</v>
      </c>
      <c r="Y4" s="5" t="n">
        <v>142750000</v>
      </c>
      <c r="Z4" s="6" t="n">
        <v>2317625000</v>
      </c>
    </row>
    <row r="5">
      <c r="A5" t="inlineStr">
        <is>
          <t>COGS</t>
        </is>
      </c>
      <c r="B5" s="5" t="n">
        <v>12000000</v>
      </c>
      <c r="C5" s="5" t="n">
        <v>12300000</v>
      </c>
      <c r="D5" s="5" t="n">
        <v>13050000</v>
      </c>
      <c r="E5" s="5" t="n">
        <v>16584375</v>
      </c>
      <c r="F5" s="5" t="n">
        <v>20418750</v>
      </c>
      <c r="G5" s="5" t="n">
        <v>24253125</v>
      </c>
      <c r="H5" s="5" t="n">
        <v>28087500</v>
      </c>
      <c r="I5" s="5" t="n">
        <v>29137500</v>
      </c>
      <c r="J5" s="5" t="n">
        <v>30187500</v>
      </c>
      <c r="K5" s="5" t="n">
        <v>31237500</v>
      </c>
      <c r="L5" s="5" t="n">
        <v>32287500</v>
      </c>
      <c r="M5" s="5" t="n">
        <v>33337500</v>
      </c>
      <c r="N5" s="5" t="n">
        <v>34387500</v>
      </c>
      <c r="O5" s="5" t="n">
        <v>35437500</v>
      </c>
      <c r="P5" s="5" t="n">
        <v>36487500</v>
      </c>
      <c r="Q5" s="5" t="n">
        <v>37537500</v>
      </c>
      <c r="R5" s="5" t="n">
        <v>38737500</v>
      </c>
      <c r="S5" s="5" t="n">
        <v>39937500</v>
      </c>
      <c r="T5" s="5" t="n">
        <v>40987500</v>
      </c>
      <c r="U5" s="5" t="n">
        <v>42037500</v>
      </c>
      <c r="V5" s="5" t="n">
        <v>43237500</v>
      </c>
      <c r="W5" s="5" t="n">
        <v>44287500</v>
      </c>
      <c r="X5" s="5" t="n">
        <v>45187500</v>
      </c>
      <c r="Y5" s="5" t="n">
        <v>46537500</v>
      </c>
      <c r="Z5" s="6" t="n">
        <v>767681250</v>
      </c>
    </row>
    <row r="6">
      <c r="A6" s="7" t="inlineStr">
        <is>
          <t>BRUTTO FOYDA</t>
        </is>
      </c>
      <c r="B6" s="8" t="n">
        <v>28000000</v>
      </c>
      <c r="C6" s="8" t="n">
        <v>28700000</v>
      </c>
      <c r="D6" s="8" t="n">
        <v>30450000</v>
      </c>
      <c r="E6" s="8" t="n">
        <v>35603125</v>
      </c>
      <c r="F6" s="8" t="n">
        <v>41456250</v>
      </c>
      <c r="G6" s="8" t="n">
        <v>47309375</v>
      </c>
      <c r="H6" s="8" t="n">
        <v>53162500</v>
      </c>
      <c r="I6" s="8" t="n">
        <v>55612500</v>
      </c>
      <c r="J6" s="8" t="n">
        <v>58062500</v>
      </c>
      <c r="K6" s="8" t="n">
        <v>60512500</v>
      </c>
      <c r="L6" s="8" t="n">
        <v>62962500</v>
      </c>
      <c r="M6" s="8" t="n">
        <v>65412500</v>
      </c>
      <c r="N6" s="8" t="n">
        <v>67862500</v>
      </c>
      <c r="O6" s="8" t="n">
        <v>70312500</v>
      </c>
      <c r="P6" s="8" t="n">
        <v>72762500</v>
      </c>
      <c r="Q6" s="8" t="n">
        <v>75212500</v>
      </c>
      <c r="R6" s="8" t="n">
        <v>78012500</v>
      </c>
      <c r="S6" s="8" t="n">
        <v>80812500</v>
      </c>
      <c r="T6" s="8" t="n">
        <v>83262500</v>
      </c>
      <c r="U6" s="8" t="n">
        <v>85712500</v>
      </c>
      <c r="V6" s="8" t="n">
        <v>88512500</v>
      </c>
      <c r="W6" s="8" t="n">
        <v>90962500</v>
      </c>
      <c r="X6" s="8" t="n">
        <v>93062500</v>
      </c>
      <c r="Y6" s="8" t="n">
        <v>96212500</v>
      </c>
      <c r="Z6" s="6" t="n">
        <v>1549943750</v>
      </c>
    </row>
    <row r="7">
      <c r="A7" t="inlineStr">
        <is>
          <t>OPEX (soliqsiz)</t>
        </is>
      </c>
      <c r="B7" s="5" t="n">
        <v>16500000</v>
      </c>
      <c r="C7" s="5" t="n">
        <v>16500000</v>
      </c>
      <c r="D7" s="5" t="n">
        <v>16500000</v>
      </c>
      <c r="E7" s="5" t="n">
        <v>26300000</v>
      </c>
      <c r="F7" s="5" t="n">
        <v>26300000</v>
      </c>
      <c r="G7" s="5" t="n">
        <v>26300000</v>
      </c>
      <c r="H7" s="5" t="n">
        <v>27300000</v>
      </c>
      <c r="I7" s="5" t="n">
        <v>27300000</v>
      </c>
      <c r="J7" s="5" t="n">
        <v>27300000</v>
      </c>
      <c r="K7" s="5" t="n">
        <v>27300000</v>
      </c>
      <c r="L7" s="5" t="n">
        <v>27300000</v>
      </c>
      <c r="M7" s="5" t="n">
        <v>27300000</v>
      </c>
      <c r="N7" s="5" t="n">
        <v>27300000</v>
      </c>
      <c r="O7" s="5" t="n">
        <v>27300000</v>
      </c>
      <c r="P7" s="5" t="n">
        <v>27300000</v>
      </c>
      <c r="Q7" s="5" t="n">
        <v>27300000</v>
      </c>
      <c r="R7" s="5" t="n">
        <v>27300000</v>
      </c>
      <c r="S7" s="5" t="n">
        <v>27300000</v>
      </c>
      <c r="T7" s="5" t="n">
        <v>27300000</v>
      </c>
      <c r="U7" s="5" t="n">
        <v>27300000</v>
      </c>
      <c r="V7" s="5" t="n">
        <v>27300000</v>
      </c>
      <c r="W7" s="5" t="n">
        <v>27300000</v>
      </c>
      <c r="X7" s="5" t="n">
        <v>27300000</v>
      </c>
      <c r="Y7" s="5" t="n">
        <v>27300000</v>
      </c>
      <c r="Z7" s="6" t="n">
        <v>619800000</v>
      </c>
    </row>
    <row r="8">
      <c r="A8" s="7" t="inlineStr">
        <is>
          <t>EBITDA (soliqqacha)</t>
        </is>
      </c>
      <c r="B8" s="8" t="n">
        <v>11500000</v>
      </c>
      <c r="C8" s="8" t="n">
        <v>12200000</v>
      </c>
      <c r="D8" s="8" t="n">
        <v>13950000</v>
      </c>
      <c r="E8" s="8" t="n">
        <v>9303125</v>
      </c>
      <c r="F8" s="8" t="n">
        <v>15156250</v>
      </c>
      <c r="G8" s="8" t="n">
        <v>21009375</v>
      </c>
      <c r="H8" s="8" t="n">
        <v>25862500</v>
      </c>
      <c r="I8" s="8" t="n">
        <v>28312500</v>
      </c>
      <c r="J8" s="8" t="n">
        <v>30762500</v>
      </c>
      <c r="K8" s="8" t="n">
        <v>33212500</v>
      </c>
      <c r="L8" s="8" t="n">
        <v>35662500</v>
      </c>
      <c r="M8" s="8" t="n">
        <v>38112500</v>
      </c>
      <c r="N8" s="8" t="n">
        <v>40562500</v>
      </c>
      <c r="O8" s="8" t="n">
        <v>43012500</v>
      </c>
      <c r="P8" s="8" t="n">
        <v>45462500</v>
      </c>
      <c r="Q8" s="8" t="n">
        <v>47912500</v>
      </c>
      <c r="R8" s="8" t="n">
        <v>50712500</v>
      </c>
      <c r="S8" s="8" t="n">
        <v>53512500</v>
      </c>
      <c r="T8" s="8" t="n">
        <v>55962500</v>
      </c>
      <c r="U8" s="8" t="n">
        <v>58412500</v>
      </c>
      <c r="V8" s="8" t="n">
        <v>61212500</v>
      </c>
      <c r="W8" s="8" t="n">
        <v>63662500</v>
      </c>
      <c r="X8" s="8" t="n">
        <v>65762500</v>
      </c>
      <c r="Y8" s="8" t="n">
        <v>68912500</v>
      </c>
      <c r="Z8" s="6" t="n">
        <v>930143750</v>
      </c>
    </row>
    <row r="9">
      <c r="A9" t="inlineStr">
        <is>
          <t>Soliq (4%)</t>
        </is>
      </c>
      <c r="B9" s="5" t="n">
        <v>1600000</v>
      </c>
      <c r="C9" s="5" t="n">
        <v>1640000</v>
      </c>
      <c r="D9" s="5" t="n">
        <v>1740000</v>
      </c>
      <c r="E9" s="5" t="n">
        <v>2087500</v>
      </c>
      <c r="F9" s="5" t="n">
        <v>2475000</v>
      </c>
      <c r="G9" s="5" t="n">
        <v>2862500</v>
      </c>
      <c r="H9" s="5" t="n">
        <v>3250000</v>
      </c>
      <c r="I9" s="5" t="n">
        <v>3390000</v>
      </c>
      <c r="J9" s="5" t="n">
        <v>3530000</v>
      </c>
      <c r="K9" s="5" t="n">
        <v>3670000</v>
      </c>
      <c r="L9" s="5" t="n">
        <v>3810000</v>
      </c>
      <c r="M9" s="5" t="n">
        <v>3950000</v>
      </c>
      <c r="N9" s="5" t="n">
        <v>4090000</v>
      </c>
      <c r="O9" s="5" t="n">
        <v>4230000</v>
      </c>
      <c r="P9" s="5" t="n">
        <v>4370000</v>
      </c>
      <c r="Q9" s="5" t="n">
        <v>4510000</v>
      </c>
      <c r="R9" s="5" t="n">
        <v>4670000</v>
      </c>
      <c r="S9" s="5" t="n">
        <v>4830000</v>
      </c>
      <c r="T9" s="5" t="n">
        <v>4970000</v>
      </c>
      <c r="U9" s="5" t="n">
        <v>5110000</v>
      </c>
      <c r="V9" s="5" t="n">
        <v>5270000</v>
      </c>
      <c r="W9" s="5" t="n">
        <v>5410000</v>
      </c>
      <c r="X9" s="5" t="n">
        <v>5530000</v>
      </c>
      <c r="Y9" s="5" t="n">
        <v>5710000</v>
      </c>
      <c r="Z9" s="6" t="n">
        <v>92705000</v>
      </c>
    </row>
    <row r="10">
      <c r="A10" t="inlineStr">
        <is>
          <t>Operatsion foyda</t>
        </is>
      </c>
      <c r="B10" s="5" t="n">
        <v>9900000</v>
      </c>
      <c r="C10" s="5" t="n">
        <v>10560000</v>
      </c>
      <c r="D10" s="5" t="n">
        <v>12210000</v>
      </c>
      <c r="E10" s="5" t="n">
        <v>7215625</v>
      </c>
      <c r="F10" s="5" t="n">
        <v>12681250</v>
      </c>
      <c r="G10" s="5" t="n">
        <v>18146875</v>
      </c>
      <c r="H10" s="5" t="n">
        <v>22612500</v>
      </c>
      <c r="I10" s="5" t="n">
        <v>24922500</v>
      </c>
      <c r="J10" s="5" t="n">
        <v>27232500</v>
      </c>
      <c r="K10" s="5" t="n">
        <v>29542500</v>
      </c>
      <c r="L10" s="5" t="n">
        <v>31852500</v>
      </c>
      <c r="M10" s="5" t="n">
        <v>34162500</v>
      </c>
      <c r="N10" s="5" t="n">
        <v>36472500</v>
      </c>
      <c r="O10" s="5" t="n">
        <v>38782500</v>
      </c>
      <c r="P10" s="5" t="n">
        <v>41092500</v>
      </c>
      <c r="Q10" s="5" t="n">
        <v>43402500</v>
      </c>
      <c r="R10" s="5" t="n">
        <v>46042500</v>
      </c>
      <c r="S10" s="5" t="n">
        <v>48682500</v>
      </c>
      <c r="T10" s="5" t="n">
        <v>50992500</v>
      </c>
      <c r="U10" s="5" t="n">
        <v>53302500</v>
      </c>
      <c r="V10" s="5" t="n">
        <v>55942500</v>
      </c>
      <c r="W10" s="5" t="n">
        <v>58252500</v>
      </c>
      <c r="X10" s="5" t="n">
        <v>60232500</v>
      </c>
      <c r="Y10" s="5" t="n">
        <v>63202500</v>
      </c>
      <c r="Z10" s="6" t="n">
        <v>837438750</v>
      </c>
    </row>
    <row r="11">
      <c r="A11" t="inlineStr">
        <is>
          <t>Amortizatsiya</t>
        </is>
      </c>
      <c r="B11" s="5" t="n">
        <v>0</v>
      </c>
      <c r="C11" s="5" t="n">
        <v>0</v>
      </c>
      <c r="D11" s="5" t="n">
        <v>0</v>
      </c>
      <c r="E11" s="5" t="n">
        <v>3462983</v>
      </c>
      <c r="F11" s="5" t="n">
        <v>3462983</v>
      </c>
      <c r="G11" s="5" t="n">
        <v>3462983</v>
      </c>
      <c r="H11" s="5" t="n">
        <v>3462983</v>
      </c>
      <c r="I11" s="5" t="n">
        <v>3462983</v>
      </c>
      <c r="J11" s="5" t="n">
        <v>3462983</v>
      </c>
      <c r="K11" s="5" t="n">
        <v>3462983</v>
      </c>
      <c r="L11" s="5" t="n">
        <v>3462983</v>
      </c>
      <c r="M11" s="5" t="n">
        <v>3462983</v>
      </c>
      <c r="N11" s="5" t="n">
        <v>3462983</v>
      </c>
      <c r="O11" s="5" t="n">
        <v>3462983</v>
      </c>
      <c r="P11" s="5" t="n">
        <v>3462983</v>
      </c>
      <c r="Q11" s="5" t="n">
        <v>3462983</v>
      </c>
      <c r="R11" s="5" t="n">
        <v>3462983</v>
      </c>
      <c r="S11" s="5" t="n">
        <v>3462983</v>
      </c>
      <c r="T11" s="5" t="n">
        <v>3462983</v>
      </c>
      <c r="U11" s="5" t="n">
        <v>3462983</v>
      </c>
      <c r="V11" s="5" t="n">
        <v>3462983</v>
      </c>
      <c r="W11" s="5" t="n">
        <v>3462983</v>
      </c>
      <c r="X11" s="5" t="n">
        <v>3462983</v>
      </c>
      <c r="Y11" s="5" t="n">
        <v>3462983</v>
      </c>
      <c r="Z11" s="6" t="n">
        <v>72722643</v>
      </c>
    </row>
    <row r="12">
      <c r="A12" s="7" t="inlineStr">
        <is>
          <t>SOF FOYDA</t>
        </is>
      </c>
      <c r="B12" s="8" t="n">
        <v>9900000</v>
      </c>
      <c r="C12" s="8" t="n">
        <v>10560000</v>
      </c>
      <c r="D12" s="8" t="n">
        <v>12210000</v>
      </c>
      <c r="E12" s="8" t="n">
        <v>3752642</v>
      </c>
      <c r="F12" s="8" t="n">
        <v>9218267</v>
      </c>
      <c r="G12" s="8" t="n">
        <v>14683892</v>
      </c>
      <c r="H12" s="8" t="n">
        <v>19149517</v>
      </c>
      <c r="I12" s="8" t="n">
        <v>21459517</v>
      </c>
      <c r="J12" s="8" t="n">
        <v>23769517</v>
      </c>
      <c r="K12" s="8" t="n">
        <v>26079517</v>
      </c>
      <c r="L12" s="8" t="n">
        <v>28389517</v>
      </c>
      <c r="M12" s="8" t="n">
        <v>30699517</v>
      </c>
      <c r="N12" s="8" t="n">
        <v>33009517</v>
      </c>
      <c r="O12" s="8" t="n">
        <v>35319517</v>
      </c>
      <c r="P12" s="8" t="n">
        <v>37629517</v>
      </c>
      <c r="Q12" s="8" t="n">
        <v>39939517</v>
      </c>
      <c r="R12" s="8" t="n">
        <v>42579517</v>
      </c>
      <c r="S12" s="8" t="n">
        <v>45219517</v>
      </c>
      <c r="T12" s="8" t="n">
        <v>47529517</v>
      </c>
      <c r="U12" s="8" t="n">
        <v>49839517</v>
      </c>
      <c r="V12" s="8" t="n">
        <v>52479517</v>
      </c>
      <c r="W12" s="8" t="n">
        <v>54789517</v>
      </c>
      <c r="X12" s="8" t="n">
        <v>56769517</v>
      </c>
      <c r="Y12" s="8" t="n">
        <v>59739517</v>
      </c>
      <c r="Z12" s="6" t="n">
        <v>764716107</v>
      </c>
    </row>
    <row r="13">
      <c r="A13" t="inlineStr">
        <is>
          <t>Sof marja (%)</t>
        </is>
      </c>
      <c r="B13" s="9" t="n">
        <v>24.8</v>
      </c>
      <c r="C13" s="9" t="n">
        <v>25.8</v>
      </c>
      <c r="D13" s="9" t="n">
        <v>28.1</v>
      </c>
      <c r="E13" s="9" t="n">
        <v>7.2</v>
      </c>
      <c r="F13" s="9" t="n">
        <v>14.9</v>
      </c>
      <c r="G13" s="9" t="n">
        <v>20.5</v>
      </c>
      <c r="H13" s="9" t="n">
        <v>23.6</v>
      </c>
      <c r="I13" s="9" t="n">
        <v>25.3</v>
      </c>
      <c r="J13" s="9" t="n">
        <v>26.9</v>
      </c>
      <c r="K13" s="9" t="n">
        <v>28.4</v>
      </c>
      <c r="L13" s="9" t="n">
        <v>29.8</v>
      </c>
      <c r="M13" s="9" t="n">
        <v>31.1</v>
      </c>
      <c r="N13" s="9" t="n">
        <v>32.3</v>
      </c>
      <c r="O13" s="9" t="n">
        <v>33.4</v>
      </c>
      <c r="P13" s="9" t="n">
        <v>34.4</v>
      </c>
      <c r="Q13" s="9" t="n">
        <v>35.4</v>
      </c>
      <c r="R13" s="9" t="n">
        <v>36.5</v>
      </c>
      <c r="S13" s="9" t="n">
        <v>37.4</v>
      </c>
      <c r="T13" s="9" t="n">
        <v>38.3</v>
      </c>
      <c r="U13" s="9" t="n">
        <v>39</v>
      </c>
      <c r="V13" s="9" t="n">
        <v>39.8</v>
      </c>
      <c r="W13" s="9" t="n">
        <v>40.5</v>
      </c>
      <c r="X13" s="9" t="n">
        <v>41.1</v>
      </c>
      <c r="Y13" s="9" t="n">
        <v>41.8</v>
      </c>
      <c r="Z13" s="10" t="n">
        <v>33</v>
      </c>
    </row>
    <row r="15">
      <c r="A15" t="inlineStr">
        <is>
          <t>Kumulyativ sof foyda</t>
        </is>
      </c>
      <c r="B15" s="5" t="n">
        <v>9900000</v>
      </c>
      <c r="C15" s="5" t="n">
        <v>20460000</v>
      </c>
      <c r="D15" s="5" t="n">
        <v>32670000</v>
      </c>
      <c r="E15" s="5" t="n">
        <v>36422642</v>
      </c>
      <c r="F15" s="5" t="n">
        <v>45640909</v>
      </c>
      <c r="G15" s="5" t="n">
        <v>60324801</v>
      </c>
      <c r="H15" s="5" t="n">
        <v>79474318</v>
      </c>
      <c r="I15" s="5" t="n">
        <v>100933835</v>
      </c>
      <c r="J15" s="5" t="n">
        <v>124703352</v>
      </c>
      <c r="K15" s="5" t="n">
        <v>150782869</v>
      </c>
      <c r="L15" s="5" t="n">
        <v>179172386</v>
      </c>
      <c r="M15" s="5" t="n">
        <v>209871903</v>
      </c>
      <c r="N15" s="5" t="n">
        <v>242881420</v>
      </c>
      <c r="O15" s="5" t="n">
        <v>278200937</v>
      </c>
      <c r="P15" s="5" t="n">
        <v>315830454</v>
      </c>
      <c r="Q15" s="5" t="n">
        <v>355769971</v>
      </c>
      <c r="R15" s="5" t="n">
        <v>398349488</v>
      </c>
      <c r="S15" s="5" t="n">
        <v>443569005</v>
      </c>
      <c r="T15" s="5" t="n">
        <v>491098522</v>
      </c>
      <c r="U15" s="5" t="n">
        <v>540938039</v>
      </c>
      <c r="V15" s="5" t="n">
        <v>593417556</v>
      </c>
      <c r="W15" s="5" t="n">
        <v>648207073</v>
      </c>
      <c r="X15" s="5" t="n">
        <v>704976590</v>
      </c>
      <c r="Y15" s="5" t="n">
        <v>764716107</v>
      </c>
      <c r="Z15" s="6" t="n">
        <v>764716107</v>
      </c>
    </row>
  </sheetData>
  <mergeCells count="1">
    <mergeCell ref="A1:Z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Z13"/>
  <sheetViews>
    <sheetView workbookViewId="0">
      <selection activeCell="A1" sqref="A1"/>
    </sheetView>
  </sheetViews>
  <sheetFormatPr baseColWidth="8" defaultRowHeight="15"/>
  <cols>
    <col width="2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</cols>
  <sheetData>
    <row r="1" ht="22" customHeight="1">
      <c r="A1" s="1" t="inlineStr">
        <is>
          <t>7. STARTAP KO'RSATKICHLARI</t>
        </is>
      </c>
    </row>
    <row r="3">
      <c r="A3" s="2" t="inlineStr">
        <is>
          <t>Metrika</t>
        </is>
      </c>
      <c r="B3" s="3" t="inlineStr">
        <is>
          <t>Sep'26</t>
        </is>
      </c>
      <c r="C3" s="3" t="inlineStr">
        <is>
          <t>Oct'26</t>
        </is>
      </c>
      <c r="D3" s="3" t="inlineStr">
        <is>
          <t>Nov'26</t>
        </is>
      </c>
      <c r="E3" s="3" t="inlineStr">
        <is>
          <t>Dec'26</t>
        </is>
      </c>
      <c r="F3" s="3" t="inlineStr">
        <is>
          <t>Jan'27</t>
        </is>
      </c>
      <c r="G3" s="3" t="inlineStr">
        <is>
          <t>Feb'27</t>
        </is>
      </c>
      <c r="H3" s="3" t="inlineStr">
        <is>
          <t>Mar'27</t>
        </is>
      </c>
      <c r="I3" s="3" t="inlineStr">
        <is>
          <t>Apr'27</t>
        </is>
      </c>
      <c r="J3" s="3" t="inlineStr">
        <is>
          <t>May'27</t>
        </is>
      </c>
      <c r="K3" s="3" t="inlineStr">
        <is>
          <t>Jun'27</t>
        </is>
      </c>
      <c r="L3" s="3" t="inlineStr">
        <is>
          <t>Jul'27</t>
        </is>
      </c>
      <c r="M3" s="3" t="inlineStr">
        <is>
          <t>Aug'27</t>
        </is>
      </c>
      <c r="N3" s="3" t="inlineStr">
        <is>
          <t>Sep'27</t>
        </is>
      </c>
      <c r="O3" s="3" t="inlineStr">
        <is>
          <t>Oct'27</t>
        </is>
      </c>
      <c r="P3" s="3" t="inlineStr">
        <is>
          <t>Nov'27</t>
        </is>
      </c>
      <c r="Q3" s="3" t="inlineStr">
        <is>
          <t>Dec'27</t>
        </is>
      </c>
      <c r="R3" s="3" t="inlineStr">
        <is>
          <t>Jan'28</t>
        </is>
      </c>
      <c r="S3" s="3" t="inlineStr">
        <is>
          <t>Feb'28</t>
        </is>
      </c>
      <c r="T3" s="3" t="inlineStr">
        <is>
          <t>Mar'28</t>
        </is>
      </c>
      <c r="U3" s="3" t="inlineStr">
        <is>
          <t>Apr'28</t>
        </is>
      </c>
      <c r="V3" s="3" t="inlineStr">
        <is>
          <t>May'28</t>
        </is>
      </c>
      <c r="W3" s="3" t="inlineStr">
        <is>
          <t>Jun'28</t>
        </is>
      </c>
      <c r="X3" s="3" t="inlineStr">
        <is>
          <t>Jul'28</t>
        </is>
      </c>
      <c r="Y3" s="3" t="inlineStr">
        <is>
          <t>Aug'28</t>
        </is>
      </c>
      <c r="Z3" s="4" t="inlineStr">
        <is>
          <t>O'rtacha</t>
        </is>
      </c>
    </row>
    <row r="4">
      <c r="A4" t="inlineStr">
        <is>
          <t>MRR</t>
        </is>
      </c>
      <c r="B4" s="5" t="n">
        <v>19500000</v>
      </c>
      <c r="C4" s="5" t="n">
        <v>20000000</v>
      </c>
      <c r="D4" s="5" t="n">
        <v>21500000</v>
      </c>
      <c r="E4" s="5" t="n">
        <v>23000000</v>
      </c>
      <c r="F4" s="5" t="n">
        <v>25000000</v>
      </c>
      <c r="G4" s="5" t="n">
        <v>27000000</v>
      </c>
      <c r="H4" s="5" t="n">
        <v>29000000</v>
      </c>
      <c r="I4" s="5" t="n">
        <v>31000000</v>
      </c>
      <c r="J4" s="5" t="n">
        <v>33000000</v>
      </c>
      <c r="K4" s="5" t="n">
        <v>35000000</v>
      </c>
      <c r="L4" s="5" t="n">
        <v>37000000</v>
      </c>
      <c r="M4" s="5" t="n">
        <v>39000000</v>
      </c>
      <c r="N4" s="5" t="n">
        <v>41000000</v>
      </c>
      <c r="O4" s="5" t="n">
        <v>43000000</v>
      </c>
      <c r="P4" s="5" t="n">
        <v>45000000</v>
      </c>
      <c r="Q4" s="5" t="n">
        <v>47000000</v>
      </c>
      <c r="R4" s="5" t="n">
        <v>49500000</v>
      </c>
      <c r="S4" s="5" t="n">
        <v>52000000</v>
      </c>
      <c r="T4" s="5" t="n">
        <v>54000000</v>
      </c>
      <c r="U4" s="5" t="n">
        <v>56000000</v>
      </c>
      <c r="V4" s="5" t="n">
        <v>58500000</v>
      </c>
      <c r="W4" s="5" t="n">
        <v>60500000</v>
      </c>
      <c r="X4" s="5" t="n">
        <v>62000000</v>
      </c>
      <c r="Y4" s="5" t="n">
        <v>65000000</v>
      </c>
      <c r="Z4" s="6" t="n">
        <v>65000000</v>
      </c>
    </row>
    <row r="5">
      <c r="A5" t="inlineStr">
        <is>
          <t>ARR</t>
        </is>
      </c>
      <c r="B5" s="5" t="n">
        <v>234000000</v>
      </c>
      <c r="C5" s="5" t="n">
        <v>240000000</v>
      </c>
      <c r="D5" s="5" t="n">
        <v>258000000</v>
      </c>
      <c r="E5" s="5" t="n">
        <v>276000000</v>
      </c>
      <c r="F5" s="5" t="n">
        <v>300000000</v>
      </c>
      <c r="G5" s="5" t="n">
        <v>324000000</v>
      </c>
      <c r="H5" s="5" t="n">
        <v>348000000</v>
      </c>
      <c r="I5" s="5" t="n">
        <v>372000000</v>
      </c>
      <c r="J5" s="5" t="n">
        <v>396000000</v>
      </c>
      <c r="K5" s="5" t="n">
        <v>420000000</v>
      </c>
      <c r="L5" s="5" t="n">
        <v>444000000</v>
      </c>
      <c r="M5" s="5" t="n">
        <v>468000000</v>
      </c>
      <c r="N5" s="5" t="n">
        <v>492000000</v>
      </c>
      <c r="O5" s="5" t="n">
        <v>516000000</v>
      </c>
      <c r="P5" s="5" t="n">
        <v>540000000</v>
      </c>
      <c r="Q5" s="5" t="n">
        <v>564000000</v>
      </c>
      <c r="R5" s="5" t="n">
        <v>594000000</v>
      </c>
      <c r="S5" s="5" t="n">
        <v>624000000</v>
      </c>
      <c r="T5" s="5" t="n">
        <v>648000000</v>
      </c>
      <c r="U5" s="5" t="n">
        <v>672000000</v>
      </c>
      <c r="V5" s="5" t="n">
        <v>702000000</v>
      </c>
      <c r="W5" s="5" t="n">
        <v>726000000</v>
      </c>
      <c r="X5" s="5" t="n">
        <v>744000000</v>
      </c>
      <c r="Y5" s="5" t="n">
        <v>780000000</v>
      </c>
      <c r="Z5" s="6" t="n">
        <v>780000000</v>
      </c>
    </row>
    <row r="6">
      <c r="A6" t="inlineStr">
        <is>
          <t>ARPU</t>
        </is>
      </c>
      <c r="B6" s="5" t="n">
        <v>1481481</v>
      </c>
      <c r="C6" s="5" t="n">
        <v>1464286</v>
      </c>
      <c r="D6" s="5" t="n">
        <v>1450000</v>
      </c>
      <c r="E6" s="5" t="n">
        <v>1630859</v>
      </c>
      <c r="F6" s="5" t="n">
        <v>1767857</v>
      </c>
      <c r="G6" s="5" t="n">
        <v>1883224</v>
      </c>
      <c r="H6" s="5" t="n">
        <v>1981707</v>
      </c>
      <c r="I6" s="5" t="n">
        <v>1926136</v>
      </c>
      <c r="J6" s="5" t="n">
        <v>1877660</v>
      </c>
      <c r="K6" s="5" t="n">
        <v>1835000</v>
      </c>
      <c r="L6" s="5" t="n">
        <v>1797170</v>
      </c>
      <c r="M6" s="5" t="n">
        <v>1763393</v>
      </c>
      <c r="N6" s="5" t="n">
        <v>1733051</v>
      </c>
      <c r="O6" s="5" t="n">
        <v>1705645</v>
      </c>
      <c r="P6" s="5" t="n">
        <v>1680769</v>
      </c>
      <c r="Q6" s="5" t="n">
        <v>1658088</v>
      </c>
      <c r="R6" s="5" t="n">
        <v>1621528</v>
      </c>
      <c r="S6" s="5" t="n">
        <v>1588816</v>
      </c>
      <c r="T6" s="5" t="n">
        <v>1572785</v>
      </c>
      <c r="U6" s="5" t="n">
        <v>1557927</v>
      </c>
      <c r="V6" s="5" t="n">
        <v>1531977</v>
      </c>
      <c r="W6" s="5" t="n">
        <v>1519663</v>
      </c>
      <c r="X6" s="5" t="n">
        <v>1519231</v>
      </c>
      <c r="Y6" s="5" t="n">
        <v>1502632</v>
      </c>
      <c r="Z6" s="6" t="n">
        <v>1668787</v>
      </c>
    </row>
    <row r="7">
      <c r="A7" t="inlineStr">
        <is>
          <t>CAC</t>
        </is>
      </c>
      <c r="B7" s="5" t="inlineStr">
        <is>
          <t>—</t>
        </is>
      </c>
      <c r="C7" s="5" t="n">
        <v>3900000</v>
      </c>
      <c r="D7" s="5" t="n">
        <v>1950000</v>
      </c>
      <c r="E7" s="5" t="n">
        <v>3000000</v>
      </c>
      <c r="F7" s="5" t="n">
        <v>2000000</v>
      </c>
      <c r="G7" s="5" t="n">
        <v>2000000</v>
      </c>
      <c r="H7" s="5" t="n">
        <v>2000000</v>
      </c>
      <c r="I7" s="5" t="n">
        <v>2000000</v>
      </c>
      <c r="J7" s="5" t="n">
        <v>2000000</v>
      </c>
      <c r="K7" s="5" t="n">
        <v>2000000</v>
      </c>
      <c r="L7" s="5" t="n">
        <v>2000000</v>
      </c>
      <c r="M7" s="5" t="n">
        <v>2000000</v>
      </c>
      <c r="N7" s="5" t="n">
        <v>2000000</v>
      </c>
      <c r="O7" s="5" t="n">
        <v>2000000</v>
      </c>
      <c r="P7" s="5" t="n">
        <v>2000000</v>
      </c>
      <c r="Q7" s="5" t="n">
        <v>2000000</v>
      </c>
      <c r="R7" s="5" t="n">
        <v>1500000</v>
      </c>
      <c r="S7" s="5" t="n">
        <v>1500000</v>
      </c>
      <c r="T7" s="5" t="n">
        <v>2000000</v>
      </c>
      <c r="U7" s="5" t="n">
        <v>2000000</v>
      </c>
      <c r="V7" s="5" t="n">
        <v>1500000</v>
      </c>
      <c r="W7" s="5" t="n">
        <v>2000000</v>
      </c>
      <c r="X7" s="5" t="n">
        <v>3000000</v>
      </c>
      <c r="Y7" s="5" t="n">
        <v>1500000</v>
      </c>
      <c r="Z7" s="6" t="n">
        <v>2080435</v>
      </c>
    </row>
    <row r="8">
      <c r="A8" t="inlineStr">
        <is>
          <t>LTV</t>
        </is>
      </c>
      <c r="B8" s="5" t="n">
        <v>24888881</v>
      </c>
      <c r="C8" s="5" t="n">
        <v>24600005</v>
      </c>
      <c r="D8" s="5" t="n">
        <v>24360000</v>
      </c>
      <c r="E8" s="5" t="n">
        <v>26702338</v>
      </c>
      <c r="F8" s="5" t="n">
        <v>28427141</v>
      </c>
      <c r="G8" s="5" t="n">
        <v>29879610</v>
      </c>
      <c r="H8" s="5" t="n">
        <v>31119507</v>
      </c>
      <c r="I8" s="5" t="n">
        <v>30334085</v>
      </c>
      <c r="J8" s="5" t="n">
        <v>29648943</v>
      </c>
      <c r="K8" s="5" t="n">
        <v>29046000</v>
      </c>
      <c r="L8" s="5" t="n">
        <v>28511324</v>
      </c>
      <c r="M8" s="5" t="n">
        <v>28033931</v>
      </c>
      <c r="N8" s="5" t="n">
        <v>27605087</v>
      </c>
      <c r="O8" s="5" t="n">
        <v>27217739</v>
      </c>
      <c r="P8" s="5" t="n">
        <v>26866150</v>
      </c>
      <c r="Q8" s="5" t="n">
        <v>26545584</v>
      </c>
      <c r="R8" s="5" t="n">
        <v>26004170</v>
      </c>
      <c r="S8" s="5" t="n">
        <v>25519740</v>
      </c>
      <c r="T8" s="5" t="n">
        <v>25294940</v>
      </c>
      <c r="U8" s="5" t="n">
        <v>25086588</v>
      </c>
      <c r="V8" s="5" t="n">
        <v>24701167</v>
      </c>
      <c r="W8" s="5" t="n">
        <v>24529215</v>
      </c>
      <c r="X8" s="5" t="n">
        <v>24543960</v>
      </c>
      <c r="Y8" s="5" t="n">
        <v>24306323</v>
      </c>
      <c r="Z8" s="6" t="n">
        <v>26823851</v>
      </c>
    </row>
    <row r="9">
      <c r="A9" t="inlineStr">
        <is>
          <t>LTV/CAC</t>
        </is>
      </c>
      <c r="B9" s="9" t="inlineStr">
        <is>
          <t>—</t>
        </is>
      </c>
      <c r="C9" s="9" t="n">
        <v>6.3</v>
      </c>
      <c r="D9" s="9" t="n">
        <v>12.5</v>
      </c>
      <c r="E9" s="9" t="n">
        <v>8.9</v>
      </c>
      <c r="F9" s="9" t="n">
        <v>14.2</v>
      </c>
      <c r="G9" s="9" t="n">
        <v>14.9</v>
      </c>
      <c r="H9" s="9" t="n">
        <v>15.6</v>
      </c>
      <c r="I9" s="9" t="n">
        <v>15.2</v>
      </c>
      <c r="J9" s="9" t="n">
        <v>14.8</v>
      </c>
      <c r="K9" s="9" t="n">
        <v>14.5</v>
      </c>
      <c r="L9" s="9" t="n">
        <v>14.3</v>
      </c>
      <c r="M9" s="9" t="n">
        <v>14</v>
      </c>
      <c r="N9" s="9" t="n">
        <v>13.8</v>
      </c>
      <c r="O9" s="9" t="n">
        <v>13.6</v>
      </c>
      <c r="P9" s="9" t="n">
        <v>13.4</v>
      </c>
      <c r="Q9" s="9" t="n">
        <v>13.3</v>
      </c>
      <c r="R9" s="9" t="n">
        <v>17.3</v>
      </c>
      <c r="S9" s="9" t="n">
        <v>17</v>
      </c>
      <c r="T9" s="9" t="n">
        <v>12.6</v>
      </c>
      <c r="U9" s="9" t="n">
        <v>12.5</v>
      </c>
      <c r="V9" s="9" t="n">
        <v>16.5</v>
      </c>
      <c r="W9" s="9" t="n">
        <v>12.3</v>
      </c>
      <c r="X9" s="9" t="n">
        <v>8.199999999999999</v>
      </c>
      <c r="Y9" s="9" t="n">
        <v>16.2</v>
      </c>
      <c r="Z9" s="10" t="n">
        <v>13.6</v>
      </c>
    </row>
    <row r="11">
      <c r="A11" s="7" t="inlineStr">
        <is>
          <t>LTV = ARPU × brutto marja × mijoz umri</t>
        </is>
      </c>
    </row>
    <row r="12">
      <c r="A12" t="inlineStr">
        <is>
          <t>Mijoz umri = min(1/churn, 24 oy) = 24 oy — model gorizontidan uzoqroq daromad va'da qilinmaydi</t>
        </is>
      </c>
    </row>
    <row r="13">
      <c r="A13" t="inlineStr">
        <is>
          <t>CAC = (marketing + direktor ish haqining 40%) / yangi mijozlar — degustatsiyalarni direktor o'zi o'tkazadi</t>
        </is>
      </c>
    </row>
  </sheetData>
  <mergeCells count="1">
    <mergeCell ref="A1:Z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33"/>
  <sheetViews>
    <sheetView workbookViewId="0">
      <selection activeCell="A1" sqref="A1"/>
    </sheetView>
  </sheetViews>
  <sheetFormatPr baseColWidth="8" defaultRowHeight="15"/>
  <cols>
    <col width="32" customWidth="1" min="1" max="1"/>
    <col width="26" customWidth="1" min="2" max="2"/>
    <col width="48" customWidth="1" min="3" max="3"/>
  </cols>
  <sheetData>
    <row r="1" ht="22" customHeight="1">
      <c r="A1" s="1" t="inlineStr">
        <is>
          <t>MICROGREEN AND STRAWBERRY — FIN MODEL XULOSA</t>
        </is>
      </c>
    </row>
    <row r="3">
      <c r="A3" s="13" t="inlineStr">
        <is>
          <t>INVESTITSIYA</t>
        </is>
      </c>
      <c r="B3" t="inlineStr"/>
      <c r="C3" t="inlineStr"/>
    </row>
    <row r="4">
      <c r="A4" t="inlineStr">
        <is>
          <t>So'ralayotgan summa</t>
        </is>
      </c>
      <c r="B4" t="inlineStr">
        <is>
          <t>$35,000</t>
        </is>
      </c>
      <c r="C4" t="inlineStr">
        <is>
          <t>455,000,000 UZS</t>
        </is>
      </c>
    </row>
    <row r="5">
      <c r="A5" t="inlineStr">
        <is>
          <t xml:space="preserve">  — moddalar</t>
        </is>
      </c>
      <c r="B5" t="inlineStr">
        <is>
          <t>$30,000</t>
        </is>
      </c>
      <c r="C5" t="inlineStr">
        <is>
          <t>390,000,000 UZS</t>
        </is>
      </c>
    </row>
    <row r="6">
      <c r="A6" t="inlineStr">
        <is>
          <t xml:space="preserve">  — zaxira</t>
        </is>
      </c>
      <c r="B6" t="inlineStr">
        <is>
          <t>$5,000</t>
        </is>
      </c>
      <c r="C6" t="inlineStr">
        <is>
          <t>65,000,000 UZS</t>
        </is>
      </c>
    </row>
    <row r="7">
      <c r="A7" t="inlineStr">
        <is>
          <t>Valyuta kursi</t>
        </is>
      </c>
      <c r="B7" t="inlineStr">
        <is>
          <t>13,000 UZS/$</t>
        </is>
      </c>
      <c r="C7" t="inlineStr"/>
    </row>
    <row r="8">
      <c r="A8" t="inlineStr">
        <is>
          <t>CAPEX (amortizatsiya bazasi)</t>
        </is>
      </c>
      <c r="B8" t="inlineStr">
        <is>
          <t>207,779,000 UZS</t>
        </is>
      </c>
      <c r="C8" t="inlineStr">
        <is>
          <t>60 oyda amortizatsiya</t>
        </is>
      </c>
    </row>
    <row r="9">
      <c r="A9" t="inlineStr"/>
      <c r="B9" t="inlineStr"/>
      <c r="C9" t="inlineStr"/>
    </row>
    <row r="10">
      <c r="A10" t="inlineStr">
        <is>
          <t>DAVR</t>
        </is>
      </c>
      <c r="B10" t="inlineStr">
        <is>
          <t>Sep'26 — Aug'28</t>
        </is>
      </c>
      <c r="C10" t="inlineStr">
        <is>
          <t>24 oy</t>
        </is>
      </c>
    </row>
    <row r="11">
      <c r="A11" t="inlineStr">
        <is>
          <t>Boshlang'ich baza (M1)</t>
        </is>
      </c>
      <c r="B11" t="inlineStr">
        <is>
          <t>40,000,000 UZS/oy</t>
        </is>
      </c>
      <c r="C11" t="inlineStr">
        <is>
          <t>12 restoran + 15 oila obuna + ~205 chakana xarid — FAKT</t>
        </is>
      </c>
    </row>
    <row r="12">
      <c r="A12" t="inlineStr">
        <is>
          <t>Asoschi allaqachon kiritgan</t>
        </is>
      </c>
      <c r="B12" t="inlineStr">
        <is>
          <t>$50,000</t>
        </is>
      </c>
      <c r="C12" t="inlineStr">
        <is>
          <t>shaxsiy mablag', tashqi investitsiyasiz</t>
        </is>
      </c>
    </row>
    <row r="13">
      <c r="A13" t="inlineStr"/>
      <c r="B13" t="inlineStr"/>
      <c r="C13" t="inlineStr"/>
    </row>
    <row r="14">
      <c r="A14" s="13" t="inlineStr">
        <is>
          <t>DAROMAD</t>
        </is>
      </c>
      <c r="B14" t="inlineStr"/>
      <c r="C14" t="inlineStr"/>
    </row>
    <row r="15">
      <c r="A15" t="inlineStr">
        <is>
          <t>Jami daromad</t>
        </is>
      </c>
      <c r="B15" t="inlineStr">
        <is>
          <t>2,317,625,000 UZS</t>
        </is>
      </c>
      <c r="C15" t="inlineStr">
        <is>
          <t>$178,279</t>
        </is>
      </c>
    </row>
    <row r="16">
      <c r="A16" t="inlineStr">
        <is>
          <t>Oxirgi oy daromadi</t>
        </is>
      </c>
      <c r="B16" t="inlineStr">
        <is>
          <t>142,750,000 UZS</t>
        </is>
      </c>
      <c r="C16" t="inlineStr">
        <is>
          <t>$10,981</t>
        </is>
      </c>
    </row>
    <row r="17">
      <c r="A17" t="inlineStr">
        <is>
          <t>MRR (oxirgi oy)</t>
        </is>
      </c>
      <c r="B17" t="inlineStr">
        <is>
          <t>65,000,000 UZS</t>
        </is>
      </c>
      <c r="C17" t="inlineStr"/>
    </row>
    <row r="18">
      <c r="A18" t="inlineStr">
        <is>
          <t>ARR (oxirgi oy)</t>
        </is>
      </c>
      <c r="B18" t="inlineStr">
        <is>
          <t>780,000,000 UZS</t>
        </is>
      </c>
      <c r="C18" t="inlineStr">
        <is>
          <t>$60,000</t>
        </is>
      </c>
    </row>
    <row r="19">
      <c r="A19" t="inlineStr"/>
      <c r="B19" t="inlineStr"/>
      <c r="C19" t="inlineStr"/>
    </row>
    <row r="20">
      <c r="A20" s="13" t="inlineStr">
        <is>
          <t>FOYDA</t>
        </is>
      </c>
      <c r="B20" t="inlineStr"/>
      <c r="C20" t="inlineStr"/>
    </row>
    <row r="21">
      <c r="A21" t="inlineStr">
        <is>
          <t>Jami sof foyda</t>
        </is>
      </c>
      <c r="B21" t="inlineStr">
        <is>
          <t>764,716,107 UZS</t>
        </is>
      </c>
      <c r="C21" t="inlineStr">
        <is>
          <t>$58,824</t>
        </is>
      </c>
    </row>
    <row r="22">
      <c r="A22" t="inlineStr">
        <is>
          <t>EBITDA marja (o'rtacha)</t>
        </is>
      </c>
      <c r="B22" t="inlineStr">
        <is>
          <t>40.1%</t>
        </is>
      </c>
      <c r="C22" t="inlineStr">
        <is>
          <t>soliqqacha</t>
        </is>
      </c>
    </row>
    <row r="23">
      <c r="A23" t="inlineStr">
        <is>
          <t>Break-even</t>
        </is>
      </c>
      <c r="B23" t="inlineStr">
        <is>
          <t>Sep'26</t>
        </is>
      </c>
      <c r="C23" t="inlineStr">
        <is>
          <t>kompaniya bugun ham foydali — investitsiya o'sish uchun</t>
        </is>
      </c>
    </row>
    <row r="24">
      <c r="A24" t="inlineStr">
        <is>
          <t>ROI (24 oy)</t>
        </is>
      </c>
      <c r="B24" t="inlineStr">
        <is>
          <t>168%</t>
        </is>
      </c>
      <c r="C24" t="inlineStr">
        <is>
          <t>transh kelgan kundan hisoblanadi</t>
        </is>
      </c>
    </row>
    <row r="25">
      <c r="A25" t="inlineStr"/>
      <c r="B25" t="inlineStr"/>
      <c r="C25" t="inlineStr"/>
    </row>
    <row r="26">
      <c r="A26" s="13" t="inlineStr">
        <is>
          <t>MIJOZLAR</t>
        </is>
      </c>
      <c r="B26" t="inlineStr"/>
      <c r="C26" t="inlineStr"/>
    </row>
    <row r="27">
      <c r="A27" t="inlineStr">
        <is>
          <t>Doimiy mijozlar (M24)</t>
        </is>
      </c>
      <c r="B27" t="inlineStr">
        <is>
          <t>95</t>
        </is>
      </c>
      <c r="C27" t="inlineStr">
        <is>
          <t>35 restoran + 60 oila obuna</t>
        </is>
      </c>
    </row>
    <row r="28">
      <c r="A28" t="inlineStr">
        <is>
          <t>Chakana xaridlar (M24)</t>
        </is>
      </c>
      <c r="B28" t="inlineStr">
        <is>
          <t>530/oy</t>
        </is>
      </c>
      <c r="C28" t="inlineStr">
        <is>
          <t>o'rtacha chek 100,000 so'm</t>
        </is>
      </c>
    </row>
    <row r="29">
      <c r="A29" t="inlineStr">
        <is>
          <t>Churn (oylik)</t>
        </is>
      </c>
      <c r="B29" t="inlineStr">
        <is>
          <t>2.5%</t>
        </is>
      </c>
      <c r="C29" t="inlineStr"/>
    </row>
    <row r="30">
      <c r="A30" t="inlineStr">
        <is>
          <t>LTV/CAC (o'rtacha)</t>
        </is>
      </c>
      <c r="B30" t="inlineStr">
        <is>
          <t>13.6x</t>
        </is>
      </c>
      <c r="C30" t="inlineStr">
        <is>
          <t>formula 7-varaqda</t>
        </is>
      </c>
    </row>
    <row r="31">
      <c r="A31" t="inlineStr"/>
      <c r="B31" t="inlineStr"/>
      <c r="C31" t="inlineStr"/>
    </row>
    <row r="32">
      <c r="A32" s="13" t="inlineStr">
        <is>
          <t>KASSA</t>
        </is>
      </c>
      <c r="B32" t="inlineStr"/>
      <c r="C32" t="inlineStr"/>
    </row>
    <row r="33">
      <c r="A33" t="inlineStr">
        <is>
          <t>Kassa qoldig'i (M24)</t>
        </is>
      </c>
      <c r="B33" t="inlineStr">
        <is>
          <t>1,807,551,000 UZS</t>
        </is>
      </c>
      <c r="C33" t="inlineStr">
        <is>
          <t>$139,042</t>
        </is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2026-08-12T19:54:23Z</dcterms:created>
  <dcterms:modified xmlns:dcterms="http://purl.org/dc/terms/" xmlns:xsi="http://www.w3.org/2001/XMLSchema-instance" xsi:type="dcterms:W3CDTF">2026-08-12T19:54:23Z</dcterms:modified>
</cp:coreProperties>
</file>