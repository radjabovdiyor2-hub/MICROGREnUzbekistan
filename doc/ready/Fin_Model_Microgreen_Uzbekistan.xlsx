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ijozlar" sheetId="1" state="visible" r:id="rId1"/>
    <sheet xmlns:r="http://schemas.openxmlformats.org/officeDocument/2006/relationships" name="2. Tariflar" sheetId="2" state="visible" r:id="rId2"/>
    <sheet xmlns:r="http://schemas.openxmlformats.org/officeDocument/2006/relationships" name="3. Daromad" sheetId="3" state="visible" r:id="rId3"/>
    <sheet xmlns:r="http://schemas.openxmlformats.org/officeDocument/2006/relationships" name="4. Xarajatlar" sheetId="4" state="visible" r:id="rId4"/>
    <sheet xmlns:r="http://schemas.openxmlformats.org/officeDocument/2006/relationships" name="5. Aylanma mablag'" sheetId="5" state="visible" r:id="rId5"/>
    <sheet xmlns:r="http://schemas.openxmlformats.org/officeDocument/2006/relationships" name="6. Sof foyda" sheetId="6" state="visible" r:id="rId6"/>
    <sheet xmlns:r="http://schemas.openxmlformats.org/officeDocument/2006/relationships" name="7. Startup KPI" sheetId="7" state="visible" r:id="rId7"/>
    <sheet xmlns:r="http://schemas.openxmlformats.org/officeDocument/2006/relationships" name="XULOS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3" fontId="0" fillId="0" borderId="1" pivotButton="0" quotePrefix="0" xfId="0"/>
    <xf numFmtId="3" fontId="3" fillId="4" borderId="0" pivotButton="0" quotePrefix="0" xfId="0"/>
    <xf numFmtId="0" fontId="3" fillId="0" borderId="0" pivotButton="0" quotePrefix="0" xfId="0"/>
    <xf numFmtId="3" fontId="3" fillId="0" borderId="1" pivotButton="0" quotePrefix="0" xfId="0"/>
    <xf numFmtId="164" fontId="0" fillId="0" borderId="1" pivotButton="0" quotePrefix="0" xfId="0"/>
    <xf numFmtId="164" fontId="3" fillId="4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" t="inlineStr">
        <is>
          <t>1. MIJOZLAR — baza va o'sish</t>
        </is>
      </c>
    </row>
    <row r="2">
      <c r="A2" t="inlineStr">
        <is>
          <t>M1 — bugungi FAKT: 5 restoran + 15 oila = 20 mln so'm/oy (Ariza, 32-band). O'sish shu nuqtadan hisoblanadi.</t>
        </is>
      </c>
    </row>
    <row r="4">
      <c r="A4" s="2" t="inlineStr">
        <is>
          <t>Ko'rsatkich</t>
        </is>
      </c>
      <c r="B4" s="3" t="inlineStr">
        <is>
          <t>Sep'26</t>
        </is>
      </c>
      <c r="C4" s="3" t="inlineStr">
        <is>
          <t>Oct'26</t>
        </is>
      </c>
      <c r="D4" s="3" t="inlineStr">
        <is>
          <t>Nov'26</t>
        </is>
      </c>
      <c r="E4" s="3" t="inlineStr">
        <is>
          <t>Dec'26</t>
        </is>
      </c>
      <c r="F4" s="3" t="inlineStr">
        <is>
          <t>Jan'27</t>
        </is>
      </c>
      <c r="G4" s="3" t="inlineStr">
        <is>
          <t>Feb'27</t>
        </is>
      </c>
      <c r="H4" s="3" t="inlineStr">
        <is>
          <t>Mar'27</t>
        </is>
      </c>
      <c r="I4" s="3" t="inlineStr">
        <is>
          <t>Apr'27</t>
        </is>
      </c>
      <c r="J4" s="3" t="inlineStr">
        <is>
          <t>May'27</t>
        </is>
      </c>
      <c r="K4" s="3" t="inlineStr">
        <is>
          <t>Jun'27</t>
        </is>
      </c>
      <c r="L4" s="3" t="inlineStr">
        <is>
          <t>Jul'27</t>
        </is>
      </c>
      <c r="M4" s="3" t="inlineStr">
        <is>
          <t>Aug'27</t>
        </is>
      </c>
      <c r="N4" s="3" t="inlineStr">
        <is>
          <t>Sep'27</t>
        </is>
      </c>
      <c r="O4" s="3" t="inlineStr">
        <is>
          <t>Oct'27</t>
        </is>
      </c>
      <c r="P4" s="3" t="inlineStr">
        <is>
          <t>Nov'27</t>
        </is>
      </c>
      <c r="Q4" s="3" t="inlineStr">
        <is>
          <t>Dec'27</t>
        </is>
      </c>
      <c r="R4" s="3" t="inlineStr">
        <is>
          <t>Jan'28</t>
        </is>
      </c>
      <c r="S4" s="3" t="inlineStr">
        <is>
          <t>Feb'28</t>
        </is>
      </c>
      <c r="T4" s="3" t="inlineStr">
        <is>
          <t>Mar'28</t>
        </is>
      </c>
      <c r="U4" s="3" t="inlineStr">
        <is>
          <t>Apr'28</t>
        </is>
      </c>
      <c r="V4" s="3" t="inlineStr">
        <is>
          <t>May'28</t>
        </is>
      </c>
      <c r="W4" s="3" t="inlineStr">
        <is>
          <t>Jun'28</t>
        </is>
      </c>
      <c r="X4" s="3" t="inlineStr">
        <is>
          <t>Jul'28</t>
        </is>
      </c>
      <c r="Y4" s="3" t="inlineStr">
        <is>
          <t>Aug'28</t>
        </is>
      </c>
      <c r="Z4" s="4" t="inlineStr">
        <is>
          <t>Oxirgi oy</t>
        </is>
      </c>
    </row>
    <row r="5">
      <c r="A5" t="inlineStr">
        <is>
          <t>Restoranlar (B2B)</t>
        </is>
      </c>
      <c r="B5" s="5" t="n">
        <v>5</v>
      </c>
      <c r="C5" s="5" t="n">
        <v>5</v>
      </c>
      <c r="D5" s="5" t="n">
        <v>6</v>
      </c>
      <c r="E5" s="5" t="n">
        <v>7</v>
      </c>
      <c r="F5" s="5" t="n">
        <v>8</v>
      </c>
      <c r="G5" s="5" t="n">
        <v>9</v>
      </c>
      <c r="H5" s="5" t="n">
        <v>10</v>
      </c>
      <c r="I5" s="5" t="n">
        <v>11</v>
      </c>
      <c r="J5" s="5" t="n">
        <v>12</v>
      </c>
      <c r="K5" s="5" t="n">
        <v>13</v>
      </c>
      <c r="L5" s="5" t="n">
        <v>14</v>
      </c>
      <c r="M5" s="5" t="n">
        <v>15</v>
      </c>
      <c r="N5" s="5" t="n">
        <v>16</v>
      </c>
      <c r="O5" s="5" t="n">
        <v>17</v>
      </c>
      <c r="P5" s="5" t="n">
        <v>18</v>
      </c>
      <c r="Q5" s="5" t="n">
        <v>20</v>
      </c>
      <c r="R5" s="5" t="n">
        <v>21</v>
      </c>
      <c r="S5" s="5" t="n">
        <v>22</v>
      </c>
      <c r="T5" s="5" t="n">
        <v>24</v>
      </c>
      <c r="U5" s="5" t="n">
        <v>25</v>
      </c>
      <c r="V5" s="5" t="n">
        <v>26</v>
      </c>
      <c r="W5" s="5" t="n">
        <v>28</v>
      </c>
      <c r="X5" s="5" t="n">
        <v>29</v>
      </c>
      <c r="Y5" s="5" t="n">
        <v>30</v>
      </c>
      <c r="Z5" s="6" t="n">
        <v>30</v>
      </c>
    </row>
    <row r="6">
      <c r="A6" t="inlineStr">
        <is>
          <t>Oilalar (B2C)</t>
        </is>
      </c>
      <c r="B6" s="5" t="n">
        <v>15</v>
      </c>
      <c r="C6" s="5" t="n">
        <v>16</v>
      </c>
      <c r="D6" s="5" t="n">
        <v>18</v>
      </c>
      <c r="E6" s="5" t="n">
        <v>20</v>
      </c>
      <c r="F6" s="5" t="n">
        <v>23</v>
      </c>
      <c r="G6" s="5" t="n">
        <v>26</v>
      </c>
      <c r="H6" s="5" t="n">
        <v>29</v>
      </c>
      <c r="I6" s="5" t="n">
        <v>33</v>
      </c>
      <c r="J6" s="5" t="n">
        <v>37</v>
      </c>
      <c r="K6" s="5" t="n">
        <v>41</v>
      </c>
      <c r="L6" s="5" t="n">
        <v>45</v>
      </c>
      <c r="M6" s="5" t="n">
        <v>50</v>
      </c>
      <c r="N6" s="5" t="n">
        <v>55</v>
      </c>
      <c r="O6" s="5" t="n">
        <v>60</v>
      </c>
      <c r="P6" s="5" t="n">
        <v>66</v>
      </c>
      <c r="Q6" s="5" t="n">
        <v>72</v>
      </c>
      <c r="R6" s="5" t="n">
        <v>78</v>
      </c>
      <c r="S6" s="5" t="n">
        <v>85</v>
      </c>
      <c r="T6" s="5" t="n">
        <v>92</v>
      </c>
      <c r="U6" s="5" t="n">
        <v>100</v>
      </c>
      <c r="V6" s="5" t="n">
        <v>108</v>
      </c>
      <c r="W6" s="5" t="n">
        <v>116</v>
      </c>
      <c r="X6" s="5" t="n">
        <v>124</v>
      </c>
      <c r="Y6" s="5" t="n">
        <v>132</v>
      </c>
      <c r="Z6" s="6" t="n">
        <v>132</v>
      </c>
    </row>
    <row r="7">
      <c r="A7" s="7" t="inlineStr">
        <is>
          <t>JAMI MIJOZLAR</t>
        </is>
      </c>
      <c r="B7" s="8" t="n">
        <v>20</v>
      </c>
      <c r="C7" s="8" t="n">
        <v>21</v>
      </c>
      <c r="D7" s="8" t="n">
        <v>24</v>
      </c>
      <c r="E7" s="8" t="n">
        <v>27</v>
      </c>
      <c r="F7" s="8" t="n">
        <v>31</v>
      </c>
      <c r="G7" s="8" t="n">
        <v>35</v>
      </c>
      <c r="H7" s="8" t="n">
        <v>39</v>
      </c>
      <c r="I7" s="8" t="n">
        <v>44</v>
      </c>
      <c r="J7" s="8" t="n">
        <v>49</v>
      </c>
      <c r="K7" s="8" t="n">
        <v>54</v>
      </c>
      <c r="L7" s="8" t="n">
        <v>59</v>
      </c>
      <c r="M7" s="8" t="n">
        <v>65</v>
      </c>
      <c r="N7" s="8" t="n">
        <v>71</v>
      </c>
      <c r="O7" s="8" t="n">
        <v>77</v>
      </c>
      <c r="P7" s="8" t="n">
        <v>84</v>
      </c>
      <c r="Q7" s="8" t="n">
        <v>92</v>
      </c>
      <c r="R7" s="8" t="n">
        <v>99</v>
      </c>
      <c r="S7" s="8" t="n">
        <v>107</v>
      </c>
      <c r="T7" s="8" t="n">
        <v>116</v>
      </c>
      <c r="U7" s="8" t="n">
        <v>125</v>
      </c>
      <c r="V7" s="8" t="n">
        <v>134</v>
      </c>
      <c r="W7" s="8" t="n">
        <v>144</v>
      </c>
      <c r="X7" s="8" t="n">
        <v>153</v>
      </c>
      <c r="Y7" s="8" t="n">
        <v>162</v>
      </c>
      <c r="Z7" s="6" t="n">
        <v>162</v>
      </c>
    </row>
    <row r="8">
      <c r="A8" t="inlineStr">
        <is>
          <t>Yangi mijozlar</t>
        </is>
      </c>
      <c r="B8" s="5" t="n">
        <v>0</v>
      </c>
      <c r="C8" s="5" t="n">
        <v>1</v>
      </c>
      <c r="D8" s="5" t="n">
        <v>3</v>
      </c>
      <c r="E8" s="5" t="n">
        <v>3</v>
      </c>
      <c r="F8" s="5" t="n">
        <v>4</v>
      </c>
      <c r="G8" s="5" t="n">
        <v>4</v>
      </c>
      <c r="H8" s="5" t="n">
        <v>4</v>
      </c>
      <c r="I8" s="5" t="n">
        <v>5</v>
      </c>
      <c r="J8" s="5" t="n">
        <v>5</v>
      </c>
      <c r="K8" s="5" t="n">
        <v>5</v>
      </c>
      <c r="L8" s="5" t="n">
        <v>5</v>
      </c>
      <c r="M8" s="5" t="n">
        <v>6</v>
      </c>
      <c r="N8" s="5" t="n">
        <v>6</v>
      </c>
      <c r="O8" s="5" t="n">
        <v>6</v>
      </c>
      <c r="P8" s="5" t="n">
        <v>7</v>
      </c>
      <c r="Q8" s="5" t="n">
        <v>8</v>
      </c>
      <c r="R8" s="5" t="n">
        <v>7</v>
      </c>
      <c r="S8" s="5" t="n">
        <v>8</v>
      </c>
      <c r="T8" s="5" t="n">
        <v>9</v>
      </c>
      <c r="U8" s="5" t="n">
        <v>9</v>
      </c>
      <c r="V8" s="5" t="n">
        <v>9</v>
      </c>
      <c r="W8" s="5" t="n">
        <v>10</v>
      </c>
      <c r="X8" s="5" t="n">
        <v>9</v>
      </c>
      <c r="Y8" s="5" t="n">
        <v>9</v>
      </c>
      <c r="Z8" s="6" t="n">
        <v>142</v>
      </c>
    </row>
    <row r="9">
      <c r="A9" t="inlineStr">
        <is>
          <t>Churn (oylik, %)</t>
        </is>
      </c>
      <c r="B9" s="9" t="n">
        <v>2.5</v>
      </c>
      <c r="C9" s="9" t="n">
        <v>2.5</v>
      </c>
      <c r="D9" s="9" t="n">
        <v>2.5</v>
      </c>
      <c r="E9" s="9" t="n">
        <v>2.5</v>
      </c>
      <c r="F9" s="9" t="n">
        <v>2.5</v>
      </c>
      <c r="G9" s="9" t="n">
        <v>2.5</v>
      </c>
      <c r="H9" s="9" t="n">
        <v>2.5</v>
      </c>
      <c r="I9" s="9" t="n">
        <v>2.5</v>
      </c>
      <c r="J9" s="9" t="n">
        <v>2.5</v>
      </c>
      <c r="K9" s="9" t="n">
        <v>2.5</v>
      </c>
      <c r="L9" s="9" t="n">
        <v>2.5</v>
      </c>
      <c r="M9" s="9" t="n">
        <v>2.5</v>
      </c>
      <c r="N9" s="9" t="n">
        <v>2.5</v>
      </c>
      <c r="O9" s="9" t="n">
        <v>2.5</v>
      </c>
      <c r="P9" s="9" t="n">
        <v>2.5</v>
      </c>
      <c r="Q9" s="9" t="n">
        <v>2.5</v>
      </c>
      <c r="R9" s="9" t="n">
        <v>2.5</v>
      </c>
      <c r="S9" s="9" t="n">
        <v>2.5</v>
      </c>
      <c r="T9" s="9" t="n">
        <v>2.5</v>
      </c>
      <c r="U9" s="9" t="n">
        <v>2.5</v>
      </c>
      <c r="V9" s="9" t="n">
        <v>2.5</v>
      </c>
      <c r="W9" s="9" t="n">
        <v>2.5</v>
      </c>
      <c r="X9" s="9" t="n">
        <v>2.5</v>
      </c>
      <c r="Y9" s="9" t="n">
        <v>2.5</v>
      </c>
      <c r="Z9" s="10" t="n">
        <v>2.5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52" customWidth="1" min="4" max="4"/>
  </cols>
  <sheetData>
    <row r="1" ht="22" customHeight="1">
      <c r="A1" s="1" t="inlineStr">
        <is>
          <t>2. TARIFLAR — modelda ishlatilgan narxlar</t>
        </is>
      </c>
    </row>
    <row r="3">
      <c r="A3" s="2" t="inlineStr">
        <is>
          <t>Mahsulot/Xizmat</t>
        </is>
      </c>
      <c r="B3" s="3" t="inlineStr">
        <is>
          <t>Narx (UZS)</t>
        </is>
      </c>
      <c r="C3" s="3" t="inlineStr">
        <is>
          <t>Narx ($)</t>
        </is>
      </c>
      <c r="D3" s="3" t="inlineStr">
        <is>
          <t>Izoh</t>
        </is>
      </c>
    </row>
    <row r="4">
      <c r="A4" t="inlineStr">
        <is>
          <t>Restoran obunasi (Standard, oylik)</t>
        </is>
      </c>
      <c r="B4" s="11" t="n">
        <v>2500000</v>
      </c>
      <c r="C4" s="12" t="n">
        <v>192.31</v>
      </c>
      <c r="D4" t="inlineStr">
        <is>
          <t>Modelda B2B ARPU shu narxdan hisoblanadi</t>
        </is>
      </c>
    </row>
    <row r="5">
      <c r="A5" t="inlineStr">
        <is>
          <t>Oila obunasi (o'rtacha, oylik)</t>
        </is>
      </c>
      <c r="B5" s="11" t="n">
        <v>500000</v>
      </c>
      <c r="C5" s="12" t="n">
        <v>38.46</v>
      </c>
      <c r="D5" t="inlineStr">
        <is>
          <t>Haftalik va premium paketlarning o'rtachasi</t>
        </is>
      </c>
    </row>
    <row r="6">
      <c r="A6" t="inlineStr">
        <is>
          <t>Premium qulupnay (1 kg)</t>
        </is>
      </c>
      <c r="B6" s="11" t="n">
        <v>110000</v>
      </c>
      <c r="C6" s="12" t="n">
        <v>8.460000000000001</v>
      </c>
      <c r="D6" t="inlineStr">
        <is>
          <t>Qulupnay daromadi shu narxdan hisoblanadi</t>
        </is>
      </c>
    </row>
    <row r="8">
      <c r="A8" s="7" t="inlineStr">
        <is>
          <t>Ferma quvvati (fizik chegara):</t>
        </is>
      </c>
    </row>
    <row r="9">
      <c r="A9" t="inlineStr">
        <is>
          <t>2700 tup × 1.0 kg/yil = 2,700 kg/yil</t>
        </is>
      </c>
    </row>
    <row r="10">
      <c r="A10">
        <f> 24,750,000 so'm/oy — bundan ortiq 60 m² dan olib bo'lmaydi. Kengaytirish keyingi bosqich.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2" customHeight="1">
      <c r="A1" s="1" t="inlineStr">
        <is>
          <t>3. DAROMAD</t>
        </is>
      </c>
    </row>
    <row r="3">
      <c r="A3" s="2" t="inlineStr">
        <is>
          <t>Ko'rsatkich (UZS)</t>
        </is>
      </c>
      <c r="B3" s="3" t="inlineStr">
        <is>
          <t>Sep'26</t>
        </is>
      </c>
      <c r="C3" s="3" t="inlineStr">
        <is>
          <t>Oct'26</t>
        </is>
      </c>
      <c r="D3" s="3" t="inlineStr">
        <is>
          <t>Nov'26</t>
        </is>
      </c>
      <c r="E3" s="3" t="inlineStr">
        <is>
          <t>Dec'26</t>
        </is>
      </c>
      <c r="F3" s="3" t="inlineStr">
        <is>
          <t>Jan'27</t>
        </is>
      </c>
      <c r="G3" s="3" t="inlineStr">
        <is>
          <t>Feb'27</t>
        </is>
      </c>
      <c r="H3" s="3" t="inlineStr">
        <is>
          <t>Mar'27</t>
        </is>
      </c>
      <c r="I3" s="3" t="inlineStr">
        <is>
          <t>Apr'27</t>
        </is>
      </c>
      <c r="J3" s="3" t="inlineStr">
        <is>
          <t>May'27</t>
        </is>
      </c>
      <c r="K3" s="3" t="inlineStr">
        <is>
          <t>Jun'27</t>
        </is>
      </c>
      <c r="L3" s="3" t="inlineStr">
        <is>
          <t>Jul'27</t>
        </is>
      </c>
      <c r="M3" s="3" t="inlineStr">
        <is>
          <t>Aug'27</t>
        </is>
      </c>
      <c r="N3" s="3" t="inlineStr">
        <is>
          <t>Sep'27</t>
        </is>
      </c>
      <c r="O3" s="3" t="inlineStr">
        <is>
          <t>Oct'27</t>
        </is>
      </c>
      <c r="P3" s="3" t="inlineStr">
        <is>
          <t>Nov'27</t>
        </is>
      </c>
      <c r="Q3" s="3" t="inlineStr">
        <is>
          <t>Dec'27</t>
        </is>
      </c>
      <c r="R3" s="3" t="inlineStr">
        <is>
          <t>Jan'28</t>
        </is>
      </c>
      <c r="S3" s="3" t="inlineStr">
        <is>
          <t>Feb'28</t>
        </is>
      </c>
      <c r="T3" s="3" t="inlineStr">
        <is>
          <t>Mar'28</t>
        </is>
      </c>
      <c r="U3" s="3" t="inlineStr">
        <is>
          <t>Apr'28</t>
        </is>
      </c>
      <c r="V3" s="3" t="inlineStr">
        <is>
          <t>May'28</t>
        </is>
      </c>
      <c r="W3" s="3" t="inlineStr">
        <is>
          <t>Jun'28</t>
        </is>
      </c>
      <c r="X3" s="3" t="inlineStr">
        <is>
          <t>Jul'28</t>
        </is>
      </c>
      <c r="Y3" s="3" t="inlineStr">
        <is>
          <t>Aug'28</t>
        </is>
      </c>
      <c r="Z3" s="4" t="inlineStr">
        <is>
          <t>JAMI</t>
        </is>
      </c>
    </row>
    <row r="4">
      <c r="A4" t="inlineStr">
        <is>
          <t>B2B (restoranlar)</t>
        </is>
      </c>
      <c r="B4" s="5" t="n">
        <v>12500000</v>
      </c>
      <c r="C4" s="5" t="n">
        <v>12500000</v>
      </c>
      <c r="D4" s="5" t="n">
        <v>15000000</v>
      </c>
      <c r="E4" s="5" t="n">
        <v>17500000</v>
      </c>
      <c r="F4" s="5" t="n">
        <v>20000000</v>
      </c>
      <c r="G4" s="5" t="n">
        <v>22500000</v>
      </c>
      <c r="H4" s="5" t="n">
        <v>25000000</v>
      </c>
      <c r="I4" s="5" t="n">
        <v>27500000</v>
      </c>
      <c r="J4" s="5" t="n">
        <v>30000000</v>
      </c>
      <c r="K4" s="5" t="n">
        <v>32500000</v>
      </c>
      <c r="L4" s="5" t="n">
        <v>35000000</v>
      </c>
      <c r="M4" s="5" t="n">
        <v>37500000</v>
      </c>
      <c r="N4" s="5" t="n">
        <v>40000000</v>
      </c>
      <c r="O4" s="5" t="n">
        <v>42500000</v>
      </c>
      <c r="P4" s="5" t="n">
        <v>45000000</v>
      </c>
      <c r="Q4" s="5" t="n">
        <v>50000000</v>
      </c>
      <c r="R4" s="5" t="n">
        <v>52500000</v>
      </c>
      <c r="S4" s="5" t="n">
        <v>55000000</v>
      </c>
      <c r="T4" s="5" t="n">
        <v>60000000</v>
      </c>
      <c r="U4" s="5" t="n">
        <v>62500000</v>
      </c>
      <c r="V4" s="5" t="n">
        <v>65000000</v>
      </c>
      <c r="W4" s="5" t="n">
        <v>70000000</v>
      </c>
      <c r="X4" s="5" t="n">
        <v>72500000</v>
      </c>
      <c r="Y4" s="5" t="n">
        <v>75000000</v>
      </c>
      <c r="Z4" s="6" t="n">
        <v>977500000</v>
      </c>
    </row>
    <row r="5">
      <c r="A5" t="inlineStr">
        <is>
          <t>B2C (oilalar)</t>
        </is>
      </c>
      <c r="B5" s="5" t="n">
        <v>7500000</v>
      </c>
      <c r="C5" s="5" t="n">
        <v>8000000</v>
      </c>
      <c r="D5" s="5" t="n">
        <v>9000000</v>
      </c>
      <c r="E5" s="5" t="n">
        <v>10000000</v>
      </c>
      <c r="F5" s="5" t="n">
        <v>11500000</v>
      </c>
      <c r="G5" s="5" t="n">
        <v>13000000</v>
      </c>
      <c r="H5" s="5" t="n">
        <v>14500000</v>
      </c>
      <c r="I5" s="5" t="n">
        <v>16500000</v>
      </c>
      <c r="J5" s="5" t="n">
        <v>18500000</v>
      </c>
      <c r="K5" s="5" t="n">
        <v>20500000</v>
      </c>
      <c r="L5" s="5" t="n">
        <v>22500000</v>
      </c>
      <c r="M5" s="5" t="n">
        <v>25000000</v>
      </c>
      <c r="N5" s="5" t="n">
        <v>27500000</v>
      </c>
      <c r="O5" s="5" t="n">
        <v>30000000</v>
      </c>
      <c r="P5" s="5" t="n">
        <v>33000000</v>
      </c>
      <c r="Q5" s="5" t="n">
        <v>36000000</v>
      </c>
      <c r="R5" s="5" t="n">
        <v>39000000</v>
      </c>
      <c r="S5" s="5" t="n">
        <v>42500000</v>
      </c>
      <c r="T5" s="5" t="n">
        <v>46000000</v>
      </c>
      <c r="U5" s="5" t="n">
        <v>50000000</v>
      </c>
      <c r="V5" s="5" t="n">
        <v>54000000</v>
      </c>
      <c r="W5" s="5" t="n">
        <v>58000000</v>
      </c>
      <c r="X5" s="5" t="n">
        <v>62000000</v>
      </c>
      <c r="Y5" s="5" t="n">
        <v>66000000</v>
      </c>
      <c r="Z5" s="6" t="n">
        <v>720500000</v>
      </c>
    </row>
    <row r="6">
      <c r="A6" t="inlineStr">
        <is>
          <t>Qulupnay</t>
        </is>
      </c>
      <c r="B6" s="5" t="n">
        <v>0</v>
      </c>
      <c r="C6" s="5" t="n">
        <v>0</v>
      </c>
      <c r="D6" s="5" t="n">
        <v>0</v>
      </c>
      <c r="E6" s="5" t="n">
        <v>6187500</v>
      </c>
      <c r="F6" s="5" t="n">
        <v>12375000</v>
      </c>
      <c r="G6" s="5" t="n">
        <v>18562500</v>
      </c>
      <c r="H6" s="5" t="n">
        <v>24750000</v>
      </c>
      <c r="I6" s="5" t="n">
        <v>24750000</v>
      </c>
      <c r="J6" s="5" t="n">
        <v>24750000</v>
      </c>
      <c r="K6" s="5" t="n">
        <v>24750000</v>
      </c>
      <c r="L6" s="5" t="n">
        <v>24750000</v>
      </c>
      <c r="M6" s="5" t="n">
        <v>24750000</v>
      </c>
      <c r="N6" s="5" t="n">
        <v>24750000</v>
      </c>
      <c r="O6" s="5" t="n">
        <v>24750000</v>
      </c>
      <c r="P6" s="5" t="n">
        <v>24750000</v>
      </c>
      <c r="Q6" s="5" t="n">
        <v>24750000</v>
      </c>
      <c r="R6" s="5" t="n">
        <v>24750000</v>
      </c>
      <c r="S6" s="5" t="n">
        <v>24750000</v>
      </c>
      <c r="T6" s="5" t="n">
        <v>24750000</v>
      </c>
      <c r="U6" s="5" t="n">
        <v>24750000</v>
      </c>
      <c r="V6" s="5" t="n">
        <v>24750000</v>
      </c>
      <c r="W6" s="5" t="n">
        <v>24750000</v>
      </c>
      <c r="X6" s="5" t="n">
        <v>24750000</v>
      </c>
      <c r="Y6" s="5" t="n">
        <v>24750000</v>
      </c>
      <c r="Z6" s="6" t="n">
        <v>482625000</v>
      </c>
    </row>
    <row r="7">
      <c r="A7" s="7" t="inlineStr">
        <is>
          <t>JAMI DAROMAD</t>
        </is>
      </c>
      <c r="B7" s="8" t="n">
        <v>20000000</v>
      </c>
      <c r="C7" s="8" t="n">
        <v>20500000</v>
      </c>
      <c r="D7" s="8" t="n">
        <v>24000000</v>
      </c>
      <c r="E7" s="8" t="n">
        <v>33687500</v>
      </c>
      <c r="F7" s="8" t="n">
        <v>43875000</v>
      </c>
      <c r="G7" s="8" t="n">
        <v>54062500</v>
      </c>
      <c r="H7" s="8" t="n">
        <v>64250000</v>
      </c>
      <c r="I7" s="8" t="n">
        <v>68750000</v>
      </c>
      <c r="J7" s="8" t="n">
        <v>73250000</v>
      </c>
      <c r="K7" s="8" t="n">
        <v>77750000</v>
      </c>
      <c r="L7" s="8" t="n">
        <v>82250000</v>
      </c>
      <c r="M7" s="8" t="n">
        <v>87250000</v>
      </c>
      <c r="N7" s="8" t="n">
        <v>92250000</v>
      </c>
      <c r="O7" s="8" t="n">
        <v>97250000</v>
      </c>
      <c r="P7" s="8" t="n">
        <v>102750000</v>
      </c>
      <c r="Q7" s="8" t="n">
        <v>110750000</v>
      </c>
      <c r="R7" s="8" t="n">
        <v>116250000</v>
      </c>
      <c r="S7" s="8" t="n">
        <v>122250000</v>
      </c>
      <c r="T7" s="8" t="n">
        <v>130750000</v>
      </c>
      <c r="U7" s="8" t="n">
        <v>137250000</v>
      </c>
      <c r="V7" s="8" t="n">
        <v>143750000</v>
      </c>
      <c r="W7" s="8" t="n">
        <v>152750000</v>
      </c>
      <c r="X7" s="8" t="n">
        <v>159250000</v>
      </c>
      <c r="Y7" s="8" t="n">
        <v>165750000</v>
      </c>
      <c r="Z7" s="6" t="n">
        <v>2180625000</v>
      </c>
    </row>
    <row r="9">
      <c r="A9" t="inlineStr">
        <is>
          <t>MRR (obuna)</t>
        </is>
      </c>
      <c r="B9" s="5" t="n">
        <v>20000000</v>
      </c>
      <c r="C9" s="5" t="n">
        <v>20500000</v>
      </c>
      <c r="D9" s="5" t="n">
        <v>24000000</v>
      </c>
      <c r="E9" s="5" t="n">
        <v>27500000</v>
      </c>
      <c r="F9" s="5" t="n">
        <v>31500000</v>
      </c>
      <c r="G9" s="5" t="n">
        <v>35500000</v>
      </c>
      <c r="H9" s="5" t="n">
        <v>39500000</v>
      </c>
      <c r="I9" s="5" t="n">
        <v>44000000</v>
      </c>
      <c r="J9" s="5" t="n">
        <v>48500000</v>
      </c>
      <c r="K9" s="5" t="n">
        <v>53000000</v>
      </c>
      <c r="L9" s="5" t="n">
        <v>57500000</v>
      </c>
      <c r="M9" s="5" t="n">
        <v>62500000</v>
      </c>
      <c r="N9" s="5" t="n">
        <v>67500000</v>
      </c>
      <c r="O9" s="5" t="n">
        <v>72500000</v>
      </c>
      <c r="P9" s="5" t="n">
        <v>78000000</v>
      </c>
      <c r="Q9" s="5" t="n">
        <v>86000000</v>
      </c>
      <c r="R9" s="5" t="n">
        <v>91500000</v>
      </c>
      <c r="S9" s="5" t="n">
        <v>97500000</v>
      </c>
      <c r="T9" s="5" t="n">
        <v>106000000</v>
      </c>
      <c r="U9" s="5" t="n">
        <v>112500000</v>
      </c>
      <c r="V9" s="5" t="n">
        <v>119000000</v>
      </c>
      <c r="W9" s="5" t="n">
        <v>128000000</v>
      </c>
      <c r="X9" s="5" t="n">
        <v>134500000</v>
      </c>
      <c r="Y9" s="5" t="n">
        <v>141000000</v>
      </c>
      <c r="Z9" s="6" t="n">
        <v>141000000</v>
      </c>
    </row>
    <row r="10">
      <c r="A10" t="inlineStr">
        <is>
          <t>ARR (yillik)</t>
        </is>
      </c>
      <c r="B10" s="5" t="n">
        <v>240000000</v>
      </c>
      <c r="C10" s="5" t="n">
        <v>246000000</v>
      </c>
      <c r="D10" s="5" t="n">
        <v>288000000</v>
      </c>
      <c r="E10" s="5" t="n">
        <v>330000000</v>
      </c>
      <c r="F10" s="5" t="n">
        <v>378000000</v>
      </c>
      <c r="G10" s="5" t="n">
        <v>426000000</v>
      </c>
      <c r="H10" s="5" t="n">
        <v>474000000</v>
      </c>
      <c r="I10" s="5" t="n">
        <v>528000000</v>
      </c>
      <c r="J10" s="5" t="n">
        <v>582000000</v>
      </c>
      <c r="K10" s="5" t="n">
        <v>636000000</v>
      </c>
      <c r="L10" s="5" t="n">
        <v>690000000</v>
      </c>
      <c r="M10" s="5" t="n">
        <v>750000000</v>
      </c>
      <c r="N10" s="5" t="n">
        <v>810000000</v>
      </c>
      <c r="O10" s="5" t="n">
        <v>870000000</v>
      </c>
      <c r="P10" s="5" t="n">
        <v>936000000</v>
      </c>
      <c r="Q10" s="5" t="n">
        <v>1032000000</v>
      </c>
      <c r="R10" s="5" t="n">
        <v>1098000000</v>
      </c>
      <c r="S10" s="5" t="n">
        <v>1170000000</v>
      </c>
      <c r="T10" s="5" t="n">
        <v>1272000000</v>
      </c>
      <c r="U10" s="5" t="n">
        <v>1350000000</v>
      </c>
      <c r="V10" s="5" t="n">
        <v>1428000000</v>
      </c>
      <c r="W10" s="5" t="n">
        <v>1536000000</v>
      </c>
      <c r="X10" s="5" t="n">
        <v>1614000000</v>
      </c>
      <c r="Y10" s="5" t="n">
        <v>1692000000</v>
      </c>
      <c r="Z10" s="6" t="n">
        <v>1692000000</v>
      </c>
    </row>
    <row r="11">
      <c r="A11" t="inlineStr">
        <is>
          <t>ARPU</t>
        </is>
      </c>
      <c r="B11" s="5" t="n">
        <v>1000000</v>
      </c>
      <c r="C11" s="5" t="n">
        <v>976190</v>
      </c>
      <c r="D11" s="5" t="n">
        <v>1000000</v>
      </c>
      <c r="E11" s="5" t="n">
        <v>1247685</v>
      </c>
      <c r="F11" s="5" t="n">
        <v>1415323</v>
      </c>
      <c r="G11" s="5" t="n">
        <v>1544643</v>
      </c>
      <c r="H11" s="5" t="n">
        <v>1647436</v>
      </c>
      <c r="I11" s="5" t="n">
        <v>1562500</v>
      </c>
      <c r="J11" s="5" t="n">
        <v>1494898</v>
      </c>
      <c r="K11" s="5" t="n">
        <v>1439815</v>
      </c>
      <c r="L11" s="5" t="n">
        <v>1394068</v>
      </c>
      <c r="M11" s="5" t="n">
        <v>1342308</v>
      </c>
      <c r="N11" s="5" t="n">
        <v>1299296</v>
      </c>
      <c r="O11" s="5" t="n">
        <v>1262987</v>
      </c>
      <c r="P11" s="5" t="n">
        <v>1223214</v>
      </c>
      <c r="Q11" s="5" t="n">
        <v>1203804</v>
      </c>
      <c r="R11" s="5" t="n">
        <v>1174242</v>
      </c>
      <c r="S11" s="5" t="n">
        <v>1142523</v>
      </c>
      <c r="T11" s="5" t="n">
        <v>1127155</v>
      </c>
      <c r="U11" s="5" t="n">
        <v>1098000</v>
      </c>
      <c r="V11" s="5" t="n">
        <v>1072761</v>
      </c>
      <c r="W11" s="5" t="n">
        <v>1060764</v>
      </c>
      <c r="X11" s="5" t="n">
        <v>1040850</v>
      </c>
      <c r="Y11" s="5" t="n">
        <v>1023148</v>
      </c>
      <c r="Z11" s="6" t="n">
        <v>1023148</v>
      </c>
    </row>
    <row r="12">
      <c r="A12" t="inlineStr">
        <is>
          <t>Daromad ($)</t>
        </is>
      </c>
      <c r="B12" s="5" t="n">
        <v>1538</v>
      </c>
      <c r="C12" s="5" t="n">
        <v>1577</v>
      </c>
      <c r="D12" s="5" t="n">
        <v>1846</v>
      </c>
      <c r="E12" s="5" t="n">
        <v>2591</v>
      </c>
      <c r="F12" s="5" t="n">
        <v>3375</v>
      </c>
      <c r="G12" s="5" t="n">
        <v>4159</v>
      </c>
      <c r="H12" s="5" t="n">
        <v>4942</v>
      </c>
      <c r="I12" s="5" t="n">
        <v>5288</v>
      </c>
      <c r="J12" s="5" t="n">
        <v>5635</v>
      </c>
      <c r="K12" s="5" t="n">
        <v>5981</v>
      </c>
      <c r="L12" s="5" t="n">
        <v>6327</v>
      </c>
      <c r="M12" s="5" t="n">
        <v>6712</v>
      </c>
      <c r="N12" s="5" t="n">
        <v>7096</v>
      </c>
      <c r="O12" s="5" t="n">
        <v>7481</v>
      </c>
      <c r="P12" s="5" t="n">
        <v>7904</v>
      </c>
      <c r="Q12" s="5" t="n">
        <v>8519</v>
      </c>
      <c r="R12" s="5" t="n">
        <v>8942</v>
      </c>
      <c r="S12" s="5" t="n">
        <v>9404</v>
      </c>
      <c r="T12" s="5" t="n">
        <v>10058</v>
      </c>
      <c r="U12" s="5" t="n">
        <v>10558</v>
      </c>
      <c r="V12" s="5" t="n">
        <v>11058</v>
      </c>
      <c r="W12" s="5" t="n">
        <v>11750</v>
      </c>
      <c r="X12" s="5" t="n">
        <v>12250</v>
      </c>
      <c r="Y12" s="5" t="n">
        <v>12750</v>
      </c>
      <c r="Z12" s="6" t="n">
        <v>167740</v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2" customHeight="1">
      <c r="A1" s="1" t="inlineStr">
        <is>
          <t>4. XARAJATLAR</t>
        </is>
      </c>
    </row>
    <row r="3">
      <c r="A3" s="2" t="inlineStr">
        <is>
          <t>Xarajat turi (UZS)</t>
        </is>
      </c>
      <c r="B3" s="3" t="inlineStr">
        <is>
          <t>Sep'26</t>
        </is>
      </c>
      <c r="C3" s="3" t="inlineStr">
        <is>
          <t>Oct'26</t>
        </is>
      </c>
      <c r="D3" s="3" t="inlineStr">
        <is>
          <t>Nov'26</t>
        </is>
      </c>
      <c r="E3" s="3" t="inlineStr">
        <is>
          <t>Dec'26</t>
        </is>
      </c>
      <c r="F3" s="3" t="inlineStr">
        <is>
          <t>Jan'27</t>
        </is>
      </c>
      <c r="G3" s="3" t="inlineStr">
        <is>
          <t>Feb'27</t>
        </is>
      </c>
      <c r="H3" s="3" t="inlineStr">
        <is>
          <t>Mar'27</t>
        </is>
      </c>
      <c r="I3" s="3" t="inlineStr">
        <is>
          <t>Apr'27</t>
        </is>
      </c>
      <c r="J3" s="3" t="inlineStr">
        <is>
          <t>May'27</t>
        </is>
      </c>
      <c r="K3" s="3" t="inlineStr">
        <is>
          <t>Jun'27</t>
        </is>
      </c>
      <c r="L3" s="3" t="inlineStr">
        <is>
          <t>Jul'27</t>
        </is>
      </c>
      <c r="M3" s="3" t="inlineStr">
        <is>
          <t>Aug'27</t>
        </is>
      </c>
      <c r="N3" s="3" t="inlineStr">
        <is>
          <t>Sep'27</t>
        </is>
      </c>
      <c r="O3" s="3" t="inlineStr">
        <is>
          <t>Oct'27</t>
        </is>
      </c>
      <c r="P3" s="3" t="inlineStr">
        <is>
          <t>Nov'27</t>
        </is>
      </c>
      <c r="Q3" s="3" t="inlineStr">
        <is>
          <t>Dec'27</t>
        </is>
      </c>
      <c r="R3" s="3" t="inlineStr">
        <is>
          <t>Jan'28</t>
        </is>
      </c>
      <c r="S3" s="3" t="inlineStr">
        <is>
          <t>Feb'28</t>
        </is>
      </c>
      <c r="T3" s="3" t="inlineStr">
        <is>
          <t>Mar'28</t>
        </is>
      </c>
      <c r="U3" s="3" t="inlineStr">
        <is>
          <t>Apr'28</t>
        </is>
      </c>
      <c r="V3" s="3" t="inlineStr">
        <is>
          <t>May'28</t>
        </is>
      </c>
      <c r="W3" s="3" t="inlineStr">
        <is>
          <t>Jun'28</t>
        </is>
      </c>
      <c r="X3" s="3" t="inlineStr">
        <is>
          <t>Jul'28</t>
        </is>
      </c>
      <c r="Y3" s="3" t="inlineStr">
        <is>
          <t>Aug'28</t>
        </is>
      </c>
      <c r="Z3" s="4" t="inlineStr">
        <is>
          <t>JAMI</t>
        </is>
      </c>
    </row>
    <row r="4">
      <c r="A4" t="inlineStr">
        <is>
          <t>Ish haqi</t>
        </is>
      </c>
      <c r="B4" s="5" t="n">
        <v>3000000</v>
      </c>
      <c r="C4" s="5" t="n">
        <v>3000000</v>
      </c>
      <c r="D4" s="5" t="n">
        <v>3000000</v>
      </c>
      <c r="E4" s="5" t="n">
        <v>8000000</v>
      </c>
      <c r="F4" s="5" t="n">
        <v>8000000</v>
      </c>
      <c r="G4" s="5" t="n">
        <v>8000000</v>
      </c>
      <c r="H4" s="5" t="n">
        <v>8000000</v>
      </c>
      <c r="I4" s="5" t="n">
        <v>8000000</v>
      </c>
      <c r="J4" s="5" t="n">
        <v>8000000</v>
      </c>
      <c r="K4" s="5" t="n">
        <v>8000000</v>
      </c>
      <c r="L4" s="5" t="n">
        <v>8000000</v>
      </c>
      <c r="M4" s="5" t="n">
        <v>8000000</v>
      </c>
      <c r="N4" s="5" t="n">
        <v>8000000</v>
      </c>
      <c r="O4" s="5" t="n">
        <v>8000000</v>
      </c>
      <c r="P4" s="5" t="n">
        <v>8000000</v>
      </c>
      <c r="Q4" s="5" t="n">
        <v>8000000</v>
      </c>
      <c r="R4" s="5" t="n">
        <v>8000000</v>
      </c>
      <c r="S4" s="5" t="n">
        <v>8000000</v>
      </c>
      <c r="T4" s="5" t="n">
        <v>8000000</v>
      </c>
      <c r="U4" s="5" t="n">
        <v>8000000</v>
      </c>
      <c r="V4" s="5" t="n">
        <v>8000000</v>
      </c>
      <c r="W4" s="5" t="n">
        <v>8000000</v>
      </c>
      <c r="X4" s="5" t="n">
        <v>8000000</v>
      </c>
      <c r="Y4" s="5" t="n">
        <v>8000000</v>
      </c>
      <c r="Z4" s="6" t="n">
        <v>177000000</v>
      </c>
    </row>
    <row r="5">
      <c r="A5" t="inlineStr">
        <is>
          <t>Ijara + kommunal</t>
        </is>
      </c>
      <c r="B5" s="5" t="n">
        <v>1000000</v>
      </c>
      <c r="C5" s="5" t="n">
        <v>1000000</v>
      </c>
      <c r="D5" s="5" t="n">
        <v>1000000</v>
      </c>
      <c r="E5" s="5" t="n">
        <v>1000000</v>
      </c>
      <c r="F5" s="5" t="n">
        <v>1000000</v>
      </c>
      <c r="G5" s="5" t="n">
        <v>1000000</v>
      </c>
      <c r="H5" s="5" t="n">
        <v>1800000</v>
      </c>
      <c r="I5" s="5" t="n">
        <v>1800000</v>
      </c>
      <c r="J5" s="5" t="n">
        <v>1800000</v>
      </c>
      <c r="K5" s="5" t="n">
        <v>1800000</v>
      </c>
      <c r="L5" s="5" t="n">
        <v>1800000</v>
      </c>
      <c r="M5" s="5" t="n">
        <v>1800000</v>
      </c>
      <c r="N5" s="5" t="n">
        <v>1800000</v>
      </c>
      <c r="O5" s="5" t="n">
        <v>1800000</v>
      </c>
      <c r="P5" s="5" t="n">
        <v>1800000</v>
      </c>
      <c r="Q5" s="5" t="n">
        <v>1800000</v>
      </c>
      <c r="R5" s="5" t="n">
        <v>1800000</v>
      </c>
      <c r="S5" s="5" t="n">
        <v>1800000</v>
      </c>
      <c r="T5" s="5" t="n">
        <v>1800000</v>
      </c>
      <c r="U5" s="5" t="n">
        <v>1800000</v>
      </c>
      <c r="V5" s="5" t="n">
        <v>1800000</v>
      </c>
      <c r="W5" s="5" t="n">
        <v>1800000</v>
      </c>
      <c r="X5" s="5" t="n">
        <v>1800000</v>
      </c>
      <c r="Y5" s="5" t="n">
        <v>1800000</v>
      </c>
      <c r="Z5" s="6" t="n">
        <v>38400000</v>
      </c>
    </row>
    <row r="6">
      <c r="A6" t="inlineStr">
        <is>
          <t>Elektr energiya</t>
        </is>
      </c>
      <c r="B6" s="5" t="n">
        <v>1500000</v>
      </c>
      <c r="C6" s="5" t="n">
        <v>1500000</v>
      </c>
      <c r="D6" s="5" t="n">
        <v>1500000</v>
      </c>
      <c r="E6" s="5" t="n">
        <v>4300000</v>
      </c>
      <c r="F6" s="5" t="n">
        <v>4300000</v>
      </c>
      <c r="G6" s="5" t="n">
        <v>4300000</v>
      </c>
      <c r="H6" s="5" t="n">
        <v>4300000</v>
      </c>
      <c r="I6" s="5" t="n">
        <v>4300000</v>
      </c>
      <c r="J6" s="5" t="n">
        <v>4300000</v>
      </c>
      <c r="K6" s="5" t="n">
        <v>4300000</v>
      </c>
      <c r="L6" s="5" t="n">
        <v>4300000</v>
      </c>
      <c r="M6" s="5" t="n">
        <v>4300000</v>
      </c>
      <c r="N6" s="5" t="n">
        <v>4300000</v>
      </c>
      <c r="O6" s="5" t="n">
        <v>4300000</v>
      </c>
      <c r="P6" s="5" t="n">
        <v>4300000</v>
      </c>
      <c r="Q6" s="5" t="n">
        <v>4300000</v>
      </c>
      <c r="R6" s="5" t="n">
        <v>4300000</v>
      </c>
      <c r="S6" s="5" t="n">
        <v>4300000</v>
      </c>
      <c r="T6" s="5" t="n">
        <v>4300000</v>
      </c>
      <c r="U6" s="5" t="n">
        <v>4300000</v>
      </c>
      <c r="V6" s="5" t="n">
        <v>4300000</v>
      </c>
      <c r="W6" s="5" t="n">
        <v>4300000</v>
      </c>
      <c r="X6" s="5" t="n">
        <v>4300000</v>
      </c>
      <c r="Y6" s="5" t="n">
        <v>4300000</v>
      </c>
      <c r="Z6" s="6" t="n">
        <v>94800000</v>
      </c>
    </row>
    <row r="7">
      <c r="A7" t="inlineStr">
        <is>
          <t>Materiallar</t>
        </is>
      </c>
      <c r="B7" s="5" t="n">
        <v>800000</v>
      </c>
      <c r="C7" s="5" t="n">
        <v>800000</v>
      </c>
      <c r="D7" s="5" t="n">
        <v>800000</v>
      </c>
      <c r="E7" s="5" t="n">
        <v>2500000</v>
      </c>
      <c r="F7" s="5" t="n">
        <v>2500000</v>
      </c>
      <c r="G7" s="5" t="n">
        <v>2500000</v>
      </c>
      <c r="H7" s="5" t="n">
        <v>2500000</v>
      </c>
      <c r="I7" s="5" t="n">
        <v>2500000</v>
      </c>
      <c r="J7" s="5" t="n">
        <v>2500000</v>
      </c>
      <c r="K7" s="5" t="n">
        <v>2500000</v>
      </c>
      <c r="L7" s="5" t="n">
        <v>2500000</v>
      </c>
      <c r="M7" s="5" t="n">
        <v>2500000</v>
      </c>
      <c r="N7" s="5" t="n">
        <v>2500000</v>
      </c>
      <c r="O7" s="5" t="n">
        <v>2500000</v>
      </c>
      <c r="P7" s="5" t="n">
        <v>2500000</v>
      </c>
      <c r="Q7" s="5" t="n">
        <v>2500000</v>
      </c>
      <c r="R7" s="5" t="n">
        <v>2500000</v>
      </c>
      <c r="S7" s="5" t="n">
        <v>2500000</v>
      </c>
      <c r="T7" s="5" t="n">
        <v>2500000</v>
      </c>
      <c r="U7" s="5" t="n">
        <v>2500000</v>
      </c>
      <c r="V7" s="5" t="n">
        <v>2500000</v>
      </c>
      <c r="W7" s="5" t="n">
        <v>2500000</v>
      </c>
      <c r="X7" s="5" t="n">
        <v>2500000</v>
      </c>
      <c r="Y7" s="5" t="n">
        <v>2500000</v>
      </c>
      <c r="Z7" s="6" t="n">
        <v>54900000</v>
      </c>
    </row>
    <row r="8">
      <c r="A8" t="inlineStr">
        <is>
          <t>Marketing</t>
        </is>
      </c>
      <c r="B8" s="5" t="n">
        <v>1500000</v>
      </c>
      <c r="C8" s="5" t="n">
        <v>1500000</v>
      </c>
      <c r="D8" s="5" t="n">
        <v>1500000</v>
      </c>
      <c r="E8" s="5" t="n">
        <v>1000000</v>
      </c>
      <c r="F8" s="5" t="n">
        <v>1000000</v>
      </c>
      <c r="G8" s="5" t="n">
        <v>1000000</v>
      </c>
      <c r="H8" s="5" t="n">
        <v>1000000</v>
      </c>
      <c r="I8" s="5" t="n">
        <v>1000000</v>
      </c>
      <c r="J8" s="5" t="n">
        <v>1000000</v>
      </c>
      <c r="K8" s="5" t="n">
        <v>1000000</v>
      </c>
      <c r="L8" s="5" t="n">
        <v>1000000</v>
      </c>
      <c r="M8" s="5" t="n">
        <v>1000000</v>
      </c>
      <c r="N8" s="5" t="n">
        <v>1000000</v>
      </c>
      <c r="O8" s="5" t="n">
        <v>1000000</v>
      </c>
      <c r="P8" s="5" t="n">
        <v>1000000</v>
      </c>
      <c r="Q8" s="5" t="n">
        <v>1000000</v>
      </c>
      <c r="R8" s="5" t="n">
        <v>1000000</v>
      </c>
      <c r="S8" s="5" t="n">
        <v>1000000</v>
      </c>
      <c r="T8" s="5" t="n">
        <v>1000000</v>
      </c>
      <c r="U8" s="5" t="n">
        <v>1000000</v>
      </c>
      <c r="V8" s="5" t="n">
        <v>1000000</v>
      </c>
      <c r="W8" s="5" t="n">
        <v>1000000</v>
      </c>
      <c r="X8" s="5" t="n">
        <v>1000000</v>
      </c>
      <c r="Y8" s="5" t="n">
        <v>1000000</v>
      </c>
      <c r="Z8" s="6" t="n">
        <v>25500000</v>
      </c>
    </row>
    <row r="9">
      <c r="A9" t="inlineStr">
        <is>
          <t>Transport</t>
        </is>
      </c>
      <c r="B9" s="5" t="n">
        <v>300000</v>
      </c>
      <c r="C9" s="5" t="n">
        <v>300000</v>
      </c>
      <c r="D9" s="5" t="n">
        <v>300000</v>
      </c>
      <c r="E9" s="5" t="n">
        <v>800000</v>
      </c>
      <c r="F9" s="5" t="n">
        <v>800000</v>
      </c>
      <c r="G9" s="5" t="n">
        <v>800000</v>
      </c>
      <c r="H9" s="5" t="n">
        <v>800000</v>
      </c>
      <c r="I9" s="5" t="n">
        <v>800000</v>
      </c>
      <c r="J9" s="5" t="n">
        <v>800000</v>
      </c>
      <c r="K9" s="5" t="n">
        <v>800000</v>
      </c>
      <c r="L9" s="5" t="n">
        <v>800000</v>
      </c>
      <c r="M9" s="5" t="n">
        <v>800000</v>
      </c>
      <c r="N9" s="5" t="n">
        <v>800000</v>
      </c>
      <c r="O9" s="5" t="n">
        <v>800000</v>
      </c>
      <c r="P9" s="5" t="n">
        <v>800000</v>
      </c>
      <c r="Q9" s="5" t="n">
        <v>800000</v>
      </c>
      <c r="R9" s="5" t="n">
        <v>800000</v>
      </c>
      <c r="S9" s="5" t="n">
        <v>800000</v>
      </c>
      <c r="T9" s="5" t="n">
        <v>800000</v>
      </c>
      <c r="U9" s="5" t="n">
        <v>800000</v>
      </c>
      <c r="V9" s="5" t="n">
        <v>800000</v>
      </c>
      <c r="W9" s="5" t="n">
        <v>800000</v>
      </c>
      <c r="X9" s="5" t="n">
        <v>800000</v>
      </c>
      <c r="Y9" s="5" t="n">
        <v>800000</v>
      </c>
      <c r="Z9" s="6" t="n">
        <v>17700000</v>
      </c>
    </row>
    <row r="10">
      <c r="A10" t="inlineStr">
        <is>
          <t>Boshqa</t>
        </is>
      </c>
      <c r="B10" s="5" t="n">
        <v>200000</v>
      </c>
      <c r="C10" s="5" t="n">
        <v>200000</v>
      </c>
      <c r="D10" s="5" t="n">
        <v>200000</v>
      </c>
      <c r="E10" s="5" t="n">
        <v>500000</v>
      </c>
      <c r="F10" s="5" t="n">
        <v>500000</v>
      </c>
      <c r="G10" s="5" t="n">
        <v>500000</v>
      </c>
      <c r="H10" s="5" t="n">
        <v>500000</v>
      </c>
      <c r="I10" s="5" t="n">
        <v>500000</v>
      </c>
      <c r="J10" s="5" t="n">
        <v>500000</v>
      </c>
      <c r="K10" s="5" t="n">
        <v>500000</v>
      </c>
      <c r="L10" s="5" t="n">
        <v>500000</v>
      </c>
      <c r="M10" s="5" t="n">
        <v>500000</v>
      </c>
      <c r="N10" s="5" t="n">
        <v>500000</v>
      </c>
      <c r="O10" s="5" t="n">
        <v>500000</v>
      </c>
      <c r="P10" s="5" t="n">
        <v>500000</v>
      </c>
      <c r="Q10" s="5" t="n">
        <v>500000</v>
      </c>
      <c r="R10" s="5" t="n">
        <v>500000</v>
      </c>
      <c r="S10" s="5" t="n">
        <v>500000</v>
      </c>
      <c r="T10" s="5" t="n">
        <v>500000</v>
      </c>
      <c r="U10" s="5" t="n">
        <v>500000</v>
      </c>
      <c r="V10" s="5" t="n">
        <v>500000</v>
      </c>
      <c r="W10" s="5" t="n">
        <v>500000</v>
      </c>
      <c r="X10" s="5" t="n">
        <v>500000</v>
      </c>
      <c r="Y10" s="5" t="n">
        <v>500000</v>
      </c>
      <c r="Z10" s="6" t="n">
        <v>11100000</v>
      </c>
    </row>
    <row r="11">
      <c r="A11" t="inlineStr">
        <is>
          <t>Soliq (4%)</t>
        </is>
      </c>
      <c r="B11" s="5" t="n">
        <v>800000</v>
      </c>
      <c r="C11" s="5" t="n">
        <v>820000</v>
      </c>
      <c r="D11" s="5" t="n">
        <v>960000</v>
      </c>
      <c r="E11" s="5" t="n">
        <v>1347500</v>
      </c>
      <c r="F11" s="5" t="n">
        <v>1755000</v>
      </c>
      <c r="G11" s="5" t="n">
        <v>2162500</v>
      </c>
      <c r="H11" s="5" t="n">
        <v>2570000</v>
      </c>
      <c r="I11" s="5" t="n">
        <v>2750000</v>
      </c>
      <c r="J11" s="5" t="n">
        <v>2930000</v>
      </c>
      <c r="K11" s="5" t="n">
        <v>3110000</v>
      </c>
      <c r="L11" s="5" t="n">
        <v>3290000</v>
      </c>
      <c r="M11" s="5" t="n">
        <v>3490000</v>
      </c>
      <c r="N11" s="5" t="n">
        <v>3690000</v>
      </c>
      <c r="O11" s="5" t="n">
        <v>3890000</v>
      </c>
      <c r="P11" s="5" t="n">
        <v>4110000</v>
      </c>
      <c r="Q11" s="5" t="n">
        <v>4430000</v>
      </c>
      <c r="R11" s="5" t="n">
        <v>4650000</v>
      </c>
      <c r="S11" s="5" t="n">
        <v>4890000</v>
      </c>
      <c r="T11" s="5" t="n">
        <v>5230000</v>
      </c>
      <c r="U11" s="5" t="n">
        <v>5490000</v>
      </c>
      <c r="V11" s="5" t="n">
        <v>5750000</v>
      </c>
      <c r="W11" s="5" t="n">
        <v>6110000</v>
      </c>
      <c r="X11" s="5" t="n">
        <v>6370000</v>
      </c>
      <c r="Y11" s="5" t="n">
        <v>6630000</v>
      </c>
      <c r="Z11" s="6" t="n">
        <v>87225000</v>
      </c>
    </row>
    <row r="12">
      <c r="A12" s="7" t="inlineStr">
        <is>
          <t>JAMI OPEX</t>
        </is>
      </c>
      <c r="B12" s="8" t="n">
        <v>9100000</v>
      </c>
      <c r="C12" s="8" t="n">
        <v>9120000</v>
      </c>
      <c r="D12" s="8" t="n">
        <v>9260000</v>
      </c>
      <c r="E12" s="8" t="n">
        <v>19447500</v>
      </c>
      <c r="F12" s="8" t="n">
        <v>19855000</v>
      </c>
      <c r="G12" s="8" t="n">
        <v>20262500</v>
      </c>
      <c r="H12" s="8" t="n">
        <v>21470000</v>
      </c>
      <c r="I12" s="8" t="n">
        <v>21650000</v>
      </c>
      <c r="J12" s="8" t="n">
        <v>21830000</v>
      </c>
      <c r="K12" s="8" t="n">
        <v>22010000</v>
      </c>
      <c r="L12" s="8" t="n">
        <v>22190000</v>
      </c>
      <c r="M12" s="8" t="n">
        <v>22390000</v>
      </c>
      <c r="N12" s="8" t="n">
        <v>22590000</v>
      </c>
      <c r="O12" s="8" t="n">
        <v>22790000</v>
      </c>
      <c r="P12" s="8" t="n">
        <v>23010000</v>
      </c>
      <c r="Q12" s="8" t="n">
        <v>23330000</v>
      </c>
      <c r="R12" s="8" t="n">
        <v>23550000</v>
      </c>
      <c r="S12" s="8" t="n">
        <v>23790000</v>
      </c>
      <c r="T12" s="8" t="n">
        <v>24130000</v>
      </c>
      <c r="U12" s="8" t="n">
        <v>24390000</v>
      </c>
      <c r="V12" s="8" t="n">
        <v>24650000</v>
      </c>
      <c r="W12" s="8" t="n">
        <v>25010000</v>
      </c>
      <c r="X12" s="8" t="n">
        <v>25270000</v>
      </c>
      <c r="Y12" s="8" t="n">
        <v>25530000</v>
      </c>
      <c r="Z12" s="6" t="n">
        <v>506625000</v>
      </c>
    </row>
    <row r="14">
      <c r="A14" t="inlineStr">
        <is>
          <t>COGS (tannarx)</t>
        </is>
      </c>
      <c r="B14" s="5" t="n">
        <v>6000000</v>
      </c>
      <c r="C14" s="5" t="n">
        <v>6150000</v>
      </c>
      <c r="D14" s="5" t="n">
        <v>7200000</v>
      </c>
      <c r="E14" s="5" t="n">
        <v>11034375</v>
      </c>
      <c r="F14" s="5" t="n">
        <v>15018750</v>
      </c>
      <c r="G14" s="5" t="n">
        <v>19003125</v>
      </c>
      <c r="H14" s="5" t="n">
        <v>22987500</v>
      </c>
      <c r="I14" s="5" t="n">
        <v>24337500</v>
      </c>
      <c r="J14" s="5" t="n">
        <v>25687500</v>
      </c>
      <c r="K14" s="5" t="n">
        <v>27037500</v>
      </c>
      <c r="L14" s="5" t="n">
        <v>28387500</v>
      </c>
      <c r="M14" s="5" t="n">
        <v>29887500</v>
      </c>
      <c r="N14" s="5" t="n">
        <v>31387500</v>
      </c>
      <c r="O14" s="5" t="n">
        <v>32887500</v>
      </c>
      <c r="P14" s="5" t="n">
        <v>34537500</v>
      </c>
      <c r="Q14" s="5" t="n">
        <v>36937500</v>
      </c>
      <c r="R14" s="5" t="n">
        <v>38587500</v>
      </c>
      <c r="S14" s="5" t="n">
        <v>40387500</v>
      </c>
      <c r="T14" s="5" t="n">
        <v>42937500</v>
      </c>
      <c r="U14" s="5" t="n">
        <v>44887500</v>
      </c>
      <c r="V14" s="5" t="n">
        <v>46837500</v>
      </c>
      <c r="W14" s="5" t="n">
        <v>49537500</v>
      </c>
      <c r="X14" s="5" t="n">
        <v>51487500</v>
      </c>
      <c r="Y14" s="5" t="n">
        <v>53437500</v>
      </c>
      <c r="Z14" s="6" t="n">
        <v>726581250</v>
      </c>
    </row>
    <row r="15">
      <c r="A15" s="7" t="inlineStr">
        <is>
          <t>Brutto foyda</t>
        </is>
      </c>
      <c r="B15" s="8" t="n">
        <v>14000000</v>
      </c>
      <c r="C15" s="8" t="n">
        <v>14350000</v>
      </c>
      <c r="D15" s="8" t="n">
        <v>16800000</v>
      </c>
      <c r="E15" s="8" t="n">
        <v>22653125</v>
      </c>
      <c r="F15" s="8" t="n">
        <v>28856250</v>
      </c>
      <c r="G15" s="8" t="n">
        <v>35059375</v>
      </c>
      <c r="H15" s="8" t="n">
        <v>41262500</v>
      </c>
      <c r="I15" s="8" t="n">
        <v>44412500</v>
      </c>
      <c r="J15" s="8" t="n">
        <v>47562500</v>
      </c>
      <c r="K15" s="8" t="n">
        <v>50712500</v>
      </c>
      <c r="L15" s="8" t="n">
        <v>53862500</v>
      </c>
      <c r="M15" s="8" t="n">
        <v>57362500</v>
      </c>
      <c r="N15" s="8" t="n">
        <v>60862500</v>
      </c>
      <c r="O15" s="8" t="n">
        <v>64362500</v>
      </c>
      <c r="P15" s="8" t="n">
        <v>68212500</v>
      </c>
      <c r="Q15" s="8" t="n">
        <v>73812500</v>
      </c>
      <c r="R15" s="8" t="n">
        <v>77662500</v>
      </c>
      <c r="S15" s="8" t="n">
        <v>81862500</v>
      </c>
      <c r="T15" s="8" t="n">
        <v>87812500</v>
      </c>
      <c r="U15" s="8" t="n">
        <v>92362500</v>
      </c>
      <c r="V15" s="8" t="n">
        <v>96912500</v>
      </c>
      <c r="W15" s="8" t="n">
        <v>103212500</v>
      </c>
      <c r="X15" s="8" t="n">
        <v>107762500</v>
      </c>
      <c r="Y15" s="8" t="n">
        <v>112312500</v>
      </c>
      <c r="Z15" s="6" t="n">
        <v>1454043750</v>
      </c>
    </row>
    <row r="16">
      <c r="A16" t="inlineStr">
        <is>
          <t>Brutto marja (%)</t>
        </is>
      </c>
      <c r="B16" s="9" t="n">
        <v>70</v>
      </c>
      <c r="C16" s="9" t="n">
        <v>70</v>
      </c>
      <c r="D16" s="9" t="n">
        <v>70</v>
      </c>
      <c r="E16" s="9" t="n">
        <v>67.2</v>
      </c>
      <c r="F16" s="9" t="n">
        <v>65.8</v>
      </c>
      <c r="G16" s="9" t="n">
        <v>64.8</v>
      </c>
      <c r="H16" s="9" t="n">
        <v>64.2</v>
      </c>
      <c r="I16" s="9" t="n">
        <v>64.59999999999999</v>
      </c>
      <c r="J16" s="9" t="n">
        <v>64.90000000000001</v>
      </c>
      <c r="K16" s="9" t="n">
        <v>65.2</v>
      </c>
      <c r="L16" s="9" t="n">
        <v>65.5</v>
      </c>
      <c r="M16" s="9" t="n">
        <v>65.7</v>
      </c>
      <c r="N16" s="9" t="n">
        <v>66</v>
      </c>
      <c r="O16" s="9" t="n">
        <v>66.2</v>
      </c>
      <c r="P16" s="9" t="n">
        <v>66.40000000000001</v>
      </c>
      <c r="Q16" s="9" t="n">
        <v>66.59999999999999</v>
      </c>
      <c r="R16" s="9" t="n">
        <v>66.8</v>
      </c>
      <c r="S16" s="9" t="n">
        <v>67</v>
      </c>
      <c r="T16" s="9" t="n">
        <v>67.2</v>
      </c>
      <c r="U16" s="9" t="n">
        <v>67.3</v>
      </c>
      <c r="V16" s="9" t="n">
        <v>67.40000000000001</v>
      </c>
      <c r="W16" s="9" t="n">
        <v>67.59999999999999</v>
      </c>
      <c r="X16" s="9" t="n">
        <v>67.7</v>
      </c>
      <c r="Y16" s="9" t="n">
        <v>67.8</v>
      </c>
      <c r="Z16" s="10" t="n">
        <v>66.7</v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2" customHeight="1">
      <c r="A1" s="1" t="inlineStr">
        <is>
          <t>5. AYLANMA MABLAG' — investitsiyaning to'liq taqsimoti</t>
        </is>
      </c>
    </row>
    <row r="3">
      <c r="A3" s="2" t="inlineStr">
        <is>
          <t>Ko'rsatkich (UZS)</t>
        </is>
      </c>
      <c r="B3" s="3" t="inlineStr">
        <is>
          <t>Sep'26</t>
        </is>
      </c>
      <c r="C3" s="3" t="inlineStr">
        <is>
          <t>Oct'26</t>
        </is>
      </c>
      <c r="D3" s="3" t="inlineStr">
        <is>
          <t>Nov'26</t>
        </is>
      </c>
      <c r="E3" s="3" t="inlineStr">
        <is>
          <t>Dec'26</t>
        </is>
      </c>
      <c r="F3" s="3" t="inlineStr">
        <is>
          <t>Jan'27</t>
        </is>
      </c>
      <c r="G3" s="3" t="inlineStr">
        <is>
          <t>Feb'27</t>
        </is>
      </c>
      <c r="H3" s="3" t="inlineStr">
        <is>
          <t>Mar'27</t>
        </is>
      </c>
      <c r="I3" s="3" t="inlineStr">
        <is>
          <t>Apr'27</t>
        </is>
      </c>
      <c r="J3" s="3" t="inlineStr">
        <is>
          <t>May'27</t>
        </is>
      </c>
      <c r="K3" s="3" t="inlineStr">
        <is>
          <t>Jun'27</t>
        </is>
      </c>
      <c r="L3" s="3" t="inlineStr">
        <is>
          <t>Jul'27</t>
        </is>
      </c>
      <c r="M3" s="3" t="inlineStr">
        <is>
          <t>Aug'27</t>
        </is>
      </c>
      <c r="N3" s="3" t="inlineStr">
        <is>
          <t>Sep'27</t>
        </is>
      </c>
      <c r="O3" s="3" t="inlineStr">
        <is>
          <t>Oct'27</t>
        </is>
      </c>
      <c r="P3" s="3" t="inlineStr">
        <is>
          <t>Nov'27</t>
        </is>
      </c>
      <c r="Q3" s="3" t="inlineStr">
        <is>
          <t>Dec'27</t>
        </is>
      </c>
      <c r="R3" s="3" t="inlineStr">
        <is>
          <t>Jan'28</t>
        </is>
      </c>
      <c r="S3" s="3" t="inlineStr">
        <is>
          <t>Feb'28</t>
        </is>
      </c>
      <c r="T3" s="3" t="inlineStr">
        <is>
          <t>Mar'28</t>
        </is>
      </c>
      <c r="U3" s="3" t="inlineStr">
        <is>
          <t>Apr'28</t>
        </is>
      </c>
      <c r="V3" s="3" t="inlineStr">
        <is>
          <t>May'28</t>
        </is>
      </c>
      <c r="W3" s="3" t="inlineStr">
        <is>
          <t>Jun'28</t>
        </is>
      </c>
      <c r="X3" s="3" t="inlineStr">
        <is>
          <t>Jul'28</t>
        </is>
      </c>
      <c r="Y3" s="3" t="inlineStr">
        <is>
          <t>Aug'28</t>
        </is>
      </c>
      <c r="Z3" s="4" t="inlineStr">
        <is>
          <t>JAMI</t>
        </is>
      </c>
    </row>
    <row r="4">
      <c r="A4" t="inlineStr">
        <is>
          <t>Investitsiya kirimi</t>
        </is>
      </c>
      <c r="B4" s="5" t="n">
        <v>455000000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6" t="n">
        <v>455000000</v>
      </c>
    </row>
    <row r="5">
      <c r="A5" t="inlineStr">
        <is>
          <t>Daromad kirimi</t>
        </is>
      </c>
      <c r="B5" s="5" t="n">
        <v>20000000</v>
      </c>
      <c r="C5" s="5" t="n">
        <v>20500000</v>
      </c>
      <c r="D5" s="5" t="n">
        <v>24000000</v>
      </c>
      <c r="E5" s="5" t="n">
        <v>33687500</v>
      </c>
      <c r="F5" s="5" t="n">
        <v>43875000</v>
      </c>
      <c r="G5" s="5" t="n">
        <v>54062500</v>
      </c>
      <c r="H5" s="5" t="n">
        <v>64250000</v>
      </c>
      <c r="I5" s="5" t="n">
        <v>68750000</v>
      </c>
      <c r="J5" s="5" t="n">
        <v>73250000</v>
      </c>
      <c r="K5" s="5" t="n">
        <v>77750000</v>
      </c>
      <c r="L5" s="5" t="n">
        <v>82250000</v>
      </c>
      <c r="M5" s="5" t="n">
        <v>87250000</v>
      </c>
      <c r="N5" s="5" t="n">
        <v>92250000</v>
      </c>
      <c r="O5" s="5" t="n">
        <v>97250000</v>
      </c>
      <c r="P5" s="5" t="n">
        <v>102750000</v>
      </c>
      <c r="Q5" s="5" t="n">
        <v>110750000</v>
      </c>
      <c r="R5" s="5" t="n">
        <v>116250000</v>
      </c>
      <c r="S5" s="5" t="n">
        <v>122250000</v>
      </c>
      <c r="T5" s="5" t="n">
        <v>130750000</v>
      </c>
      <c r="U5" s="5" t="n">
        <v>137250000</v>
      </c>
      <c r="V5" s="5" t="n">
        <v>143750000</v>
      </c>
      <c r="W5" s="5" t="n">
        <v>152750000</v>
      </c>
      <c r="X5" s="5" t="n">
        <v>159250000</v>
      </c>
      <c r="Y5" s="5" t="n">
        <v>165750000</v>
      </c>
      <c r="Z5" s="6" t="n">
        <v>2180625000</v>
      </c>
    </row>
    <row r="6">
      <c r="A6" s="7" t="inlineStr">
        <is>
          <t>JAMI KIRIM</t>
        </is>
      </c>
      <c r="B6" s="8" t="n">
        <v>475000000</v>
      </c>
      <c r="C6" s="8" t="n">
        <v>20500000</v>
      </c>
      <c r="D6" s="8" t="n">
        <v>24000000</v>
      </c>
      <c r="E6" s="8" t="n">
        <v>33687500</v>
      </c>
      <c r="F6" s="8" t="n">
        <v>43875000</v>
      </c>
      <c r="G6" s="8" t="n">
        <v>54062500</v>
      </c>
      <c r="H6" s="8" t="n">
        <v>64250000</v>
      </c>
      <c r="I6" s="8" t="n">
        <v>68750000</v>
      </c>
      <c r="J6" s="8" t="n">
        <v>73250000</v>
      </c>
      <c r="K6" s="8" t="n">
        <v>77750000</v>
      </c>
      <c r="L6" s="8" t="n">
        <v>82250000</v>
      </c>
      <c r="M6" s="8" t="n">
        <v>87250000</v>
      </c>
      <c r="N6" s="8" t="n">
        <v>92250000</v>
      </c>
      <c r="O6" s="8" t="n">
        <v>97250000</v>
      </c>
      <c r="P6" s="8" t="n">
        <v>102750000</v>
      </c>
      <c r="Q6" s="8" t="n">
        <v>110750000</v>
      </c>
      <c r="R6" s="8" t="n">
        <v>116250000</v>
      </c>
      <c r="S6" s="8" t="n">
        <v>122250000</v>
      </c>
      <c r="T6" s="8" t="n">
        <v>130750000</v>
      </c>
      <c r="U6" s="8" t="n">
        <v>137250000</v>
      </c>
      <c r="V6" s="8" t="n">
        <v>143750000</v>
      </c>
      <c r="W6" s="8" t="n">
        <v>152750000</v>
      </c>
      <c r="X6" s="8" t="n">
        <v>159250000</v>
      </c>
      <c r="Y6" s="8" t="n">
        <v>165750000</v>
      </c>
      <c r="Z6" s="6" t="n">
        <v>2635625000</v>
      </c>
    </row>
    <row r="8">
      <c r="A8" t="inlineStr">
        <is>
          <t>CAPEX (uskunalar)</t>
        </is>
      </c>
      <c r="B8" s="5" t="n">
        <v>207779000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6" t="n">
        <v>207779000</v>
      </c>
    </row>
    <row r="9">
      <c r="A9" t="inlineStr">
        <is>
          <t>Bino tayyorlash</t>
        </is>
      </c>
      <c r="B9" s="5" t="n">
        <v>49790000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6" t="n">
        <v>49790000</v>
      </c>
    </row>
    <row r="10">
      <c r="A10" t="inlineStr">
        <is>
          <t>OPEX</t>
        </is>
      </c>
      <c r="B10" s="5" t="n">
        <v>9100000</v>
      </c>
      <c r="C10" s="5" t="n">
        <v>9120000</v>
      </c>
      <c r="D10" s="5" t="n">
        <v>9260000</v>
      </c>
      <c r="E10" s="5" t="n">
        <v>19447500</v>
      </c>
      <c r="F10" s="5" t="n">
        <v>19855000</v>
      </c>
      <c r="G10" s="5" t="n">
        <v>20262500</v>
      </c>
      <c r="H10" s="5" t="n">
        <v>21470000</v>
      </c>
      <c r="I10" s="5" t="n">
        <v>21650000</v>
      </c>
      <c r="J10" s="5" t="n">
        <v>21830000</v>
      </c>
      <c r="K10" s="5" t="n">
        <v>22010000</v>
      </c>
      <c r="L10" s="5" t="n">
        <v>22190000</v>
      </c>
      <c r="M10" s="5" t="n">
        <v>22390000</v>
      </c>
      <c r="N10" s="5" t="n">
        <v>22590000</v>
      </c>
      <c r="O10" s="5" t="n">
        <v>22790000</v>
      </c>
      <c r="P10" s="5" t="n">
        <v>23010000</v>
      </c>
      <c r="Q10" s="5" t="n">
        <v>23330000</v>
      </c>
      <c r="R10" s="5" t="n">
        <v>23550000</v>
      </c>
      <c r="S10" s="5" t="n">
        <v>23790000</v>
      </c>
      <c r="T10" s="5" t="n">
        <v>24130000</v>
      </c>
      <c r="U10" s="5" t="n">
        <v>24390000</v>
      </c>
      <c r="V10" s="5" t="n">
        <v>24650000</v>
      </c>
      <c r="W10" s="5" t="n">
        <v>25010000</v>
      </c>
      <c r="X10" s="5" t="n">
        <v>25270000</v>
      </c>
      <c r="Y10" s="5" t="n">
        <v>25530000</v>
      </c>
      <c r="Z10" s="6" t="n">
        <v>506625000</v>
      </c>
    </row>
    <row r="11">
      <c r="A11" s="7" t="inlineStr">
        <is>
          <t>JAMI CHIQIM</t>
        </is>
      </c>
      <c r="B11" s="8" t="n">
        <v>266669000</v>
      </c>
      <c r="C11" s="8" t="n">
        <v>9120000</v>
      </c>
      <c r="D11" s="8" t="n">
        <v>9260000</v>
      </c>
      <c r="E11" s="8" t="n">
        <v>19447500</v>
      </c>
      <c r="F11" s="8" t="n">
        <v>19855000</v>
      </c>
      <c r="G11" s="8" t="n">
        <v>20262500</v>
      </c>
      <c r="H11" s="8" t="n">
        <v>21470000</v>
      </c>
      <c r="I11" s="8" t="n">
        <v>21650000</v>
      </c>
      <c r="J11" s="8" t="n">
        <v>21830000</v>
      </c>
      <c r="K11" s="8" t="n">
        <v>22010000</v>
      </c>
      <c r="L11" s="8" t="n">
        <v>22190000</v>
      </c>
      <c r="M11" s="8" t="n">
        <v>22390000</v>
      </c>
      <c r="N11" s="8" t="n">
        <v>22590000</v>
      </c>
      <c r="O11" s="8" t="n">
        <v>22790000</v>
      </c>
      <c r="P11" s="8" t="n">
        <v>23010000</v>
      </c>
      <c r="Q11" s="8" t="n">
        <v>23330000</v>
      </c>
      <c r="R11" s="8" t="n">
        <v>23550000</v>
      </c>
      <c r="S11" s="8" t="n">
        <v>23790000</v>
      </c>
      <c r="T11" s="8" t="n">
        <v>24130000</v>
      </c>
      <c r="U11" s="8" t="n">
        <v>24390000</v>
      </c>
      <c r="V11" s="8" t="n">
        <v>24650000</v>
      </c>
      <c r="W11" s="8" t="n">
        <v>25010000</v>
      </c>
      <c r="X11" s="8" t="n">
        <v>25270000</v>
      </c>
      <c r="Y11" s="8" t="n">
        <v>25530000</v>
      </c>
      <c r="Z11" s="6" t="n">
        <v>764194000</v>
      </c>
    </row>
    <row r="13">
      <c r="A13" s="7" t="inlineStr">
        <is>
          <t>SOF PUL OQIMI</t>
        </is>
      </c>
      <c r="B13" s="8" t="n">
        <v>208331000</v>
      </c>
      <c r="C13" s="8" t="n">
        <v>11380000</v>
      </c>
      <c r="D13" s="8" t="n">
        <v>14740000</v>
      </c>
      <c r="E13" s="8" t="n">
        <v>14240000</v>
      </c>
      <c r="F13" s="8" t="n">
        <v>24020000</v>
      </c>
      <c r="G13" s="8" t="n">
        <v>33800000</v>
      </c>
      <c r="H13" s="8" t="n">
        <v>42780000</v>
      </c>
      <c r="I13" s="8" t="n">
        <v>47100000</v>
      </c>
      <c r="J13" s="8" t="n">
        <v>51420000</v>
      </c>
      <c r="K13" s="8" t="n">
        <v>55740000</v>
      </c>
      <c r="L13" s="8" t="n">
        <v>60060000</v>
      </c>
      <c r="M13" s="8" t="n">
        <v>64860000</v>
      </c>
      <c r="N13" s="8" t="n">
        <v>69660000</v>
      </c>
      <c r="O13" s="8" t="n">
        <v>74460000</v>
      </c>
      <c r="P13" s="8" t="n">
        <v>79740000</v>
      </c>
      <c r="Q13" s="8" t="n">
        <v>87420000</v>
      </c>
      <c r="R13" s="8" t="n">
        <v>92700000</v>
      </c>
      <c r="S13" s="8" t="n">
        <v>98460000</v>
      </c>
      <c r="T13" s="8" t="n">
        <v>106620000</v>
      </c>
      <c r="U13" s="8" t="n">
        <v>112860000</v>
      </c>
      <c r="V13" s="8" t="n">
        <v>119100000</v>
      </c>
      <c r="W13" s="8" t="n">
        <v>127740000</v>
      </c>
      <c r="X13" s="8" t="n">
        <v>133980000</v>
      </c>
      <c r="Y13" s="8" t="n">
        <v>140220000</v>
      </c>
      <c r="Z13" s="6" t="n">
        <v>1871431000</v>
      </c>
    </row>
    <row r="14">
      <c r="A14" s="7" t="inlineStr">
        <is>
          <t>KASSA QOLDIG'I</t>
        </is>
      </c>
      <c r="B14" s="8" t="n">
        <v>213331000</v>
      </c>
      <c r="C14" s="8" t="n">
        <v>224711000</v>
      </c>
      <c r="D14" s="8" t="n">
        <v>239451000</v>
      </c>
      <c r="E14" s="8" t="n">
        <v>253691000</v>
      </c>
      <c r="F14" s="8" t="n">
        <v>277711000</v>
      </c>
      <c r="G14" s="8" t="n">
        <v>311511000</v>
      </c>
      <c r="H14" s="8" t="n">
        <v>354291000</v>
      </c>
      <c r="I14" s="8" t="n">
        <v>401391000</v>
      </c>
      <c r="J14" s="8" t="n">
        <v>452811000</v>
      </c>
      <c r="K14" s="8" t="n">
        <v>508551000</v>
      </c>
      <c r="L14" s="8" t="n">
        <v>568611000</v>
      </c>
      <c r="M14" s="8" t="n">
        <v>633471000</v>
      </c>
      <c r="N14" s="8" t="n">
        <v>703131000</v>
      </c>
      <c r="O14" s="8" t="n">
        <v>777591000</v>
      </c>
      <c r="P14" s="8" t="n">
        <v>857331000</v>
      </c>
      <c r="Q14" s="8" t="n">
        <v>944751000</v>
      </c>
      <c r="R14" s="8" t="n">
        <v>1037451000</v>
      </c>
      <c r="S14" s="8" t="n">
        <v>1135911000</v>
      </c>
      <c r="T14" s="8" t="n">
        <v>1242531000</v>
      </c>
      <c r="U14" s="8" t="n">
        <v>1355391000</v>
      </c>
      <c r="V14" s="8" t="n">
        <v>1474491000</v>
      </c>
      <c r="W14" s="8" t="n">
        <v>1602231000</v>
      </c>
      <c r="X14" s="8" t="n">
        <v>1736211000</v>
      </c>
      <c r="Y14" s="8" t="n">
        <v>1876431000</v>
      </c>
      <c r="Z14" s="6" t="n">
        <v>1876431000</v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2" customHeight="1">
      <c r="A1" s="1" t="inlineStr">
        <is>
          <t>6. SOF FOYDA (P&amp;L)</t>
        </is>
      </c>
    </row>
    <row r="3">
      <c r="A3" s="2" t="inlineStr">
        <is>
          <t>P&amp;L (UZS)</t>
        </is>
      </c>
      <c r="B3" s="3" t="inlineStr">
        <is>
          <t>Sep'26</t>
        </is>
      </c>
      <c r="C3" s="3" t="inlineStr">
        <is>
          <t>Oct'26</t>
        </is>
      </c>
      <c r="D3" s="3" t="inlineStr">
        <is>
          <t>Nov'26</t>
        </is>
      </c>
      <c r="E3" s="3" t="inlineStr">
        <is>
          <t>Dec'26</t>
        </is>
      </c>
      <c r="F3" s="3" t="inlineStr">
        <is>
          <t>Jan'27</t>
        </is>
      </c>
      <c r="G3" s="3" t="inlineStr">
        <is>
          <t>Feb'27</t>
        </is>
      </c>
      <c r="H3" s="3" t="inlineStr">
        <is>
          <t>Mar'27</t>
        </is>
      </c>
      <c r="I3" s="3" t="inlineStr">
        <is>
          <t>Apr'27</t>
        </is>
      </c>
      <c r="J3" s="3" t="inlineStr">
        <is>
          <t>May'27</t>
        </is>
      </c>
      <c r="K3" s="3" t="inlineStr">
        <is>
          <t>Jun'27</t>
        </is>
      </c>
      <c r="L3" s="3" t="inlineStr">
        <is>
          <t>Jul'27</t>
        </is>
      </c>
      <c r="M3" s="3" t="inlineStr">
        <is>
          <t>Aug'27</t>
        </is>
      </c>
      <c r="N3" s="3" t="inlineStr">
        <is>
          <t>Sep'27</t>
        </is>
      </c>
      <c r="O3" s="3" t="inlineStr">
        <is>
          <t>Oct'27</t>
        </is>
      </c>
      <c r="P3" s="3" t="inlineStr">
        <is>
          <t>Nov'27</t>
        </is>
      </c>
      <c r="Q3" s="3" t="inlineStr">
        <is>
          <t>Dec'27</t>
        </is>
      </c>
      <c r="R3" s="3" t="inlineStr">
        <is>
          <t>Jan'28</t>
        </is>
      </c>
      <c r="S3" s="3" t="inlineStr">
        <is>
          <t>Feb'28</t>
        </is>
      </c>
      <c r="T3" s="3" t="inlineStr">
        <is>
          <t>Mar'28</t>
        </is>
      </c>
      <c r="U3" s="3" t="inlineStr">
        <is>
          <t>Apr'28</t>
        </is>
      </c>
      <c r="V3" s="3" t="inlineStr">
        <is>
          <t>May'28</t>
        </is>
      </c>
      <c r="W3" s="3" t="inlineStr">
        <is>
          <t>Jun'28</t>
        </is>
      </c>
      <c r="X3" s="3" t="inlineStr">
        <is>
          <t>Jul'28</t>
        </is>
      </c>
      <c r="Y3" s="3" t="inlineStr">
        <is>
          <t>Aug'28</t>
        </is>
      </c>
      <c r="Z3" s="4" t="inlineStr">
        <is>
          <t>JAMI</t>
        </is>
      </c>
    </row>
    <row r="4">
      <c r="A4" t="inlineStr">
        <is>
          <t>Jami daromad</t>
        </is>
      </c>
      <c r="B4" s="5" t="n">
        <v>20000000</v>
      </c>
      <c r="C4" s="5" t="n">
        <v>20500000</v>
      </c>
      <c r="D4" s="5" t="n">
        <v>24000000</v>
      </c>
      <c r="E4" s="5" t="n">
        <v>33687500</v>
      </c>
      <c r="F4" s="5" t="n">
        <v>43875000</v>
      </c>
      <c r="G4" s="5" t="n">
        <v>54062500</v>
      </c>
      <c r="H4" s="5" t="n">
        <v>64250000</v>
      </c>
      <c r="I4" s="5" t="n">
        <v>68750000</v>
      </c>
      <c r="J4" s="5" t="n">
        <v>73250000</v>
      </c>
      <c r="K4" s="5" t="n">
        <v>77750000</v>
      </c>
      <c r="L4" s="5" t="n">
        <v>82250000</v>
      </c>
      <c r="M4" s="5" t="n">
        <v>87250000</v>
      </c>
      <c r="N4" s="5" t="n">
        <v>92250000</v>
      </c>
      <c r="O4" s="5" t="n">
        <v>97250000</v>
      </c>
      <c r="P4" s="5" t="n">
        <v>102750000</v>
      </c>
      <c r="Q4" s="5" t="n">
        <v>110750000</v>
      </c>
      <c r="R4" s="5" t="n">
        <v>116250000</v>
      </c>
      <c r="S4" s="5" t="n">
        <v>122250000</v>
      </c>
      <c r="T4" s="5" t="n">
        <v>130750000</v>
      </c>
      <c r="U4" s="5" t="n">
        <v>137250000</v>
      </c>
      <c r="V4" s="5" t="n">
        <v>143750000</v>
      </c>
      <c r="W4" s="5" t="n">
        <v>152750000</v>
      </c>
      <c r="X4" s="5" t="n">
        <v>159250000</v>
      </c>
      <c r="Y4" s="5" t="n">
        <v>165750000</v>
      </c>
      <c r="Z4" s="6" t="n">
        <v>2180625000</v>
      </c>
    </row>
    <row r="5">
      <c r="A5" t="inlineStr">
        <is>
          <t>COGS</t>
        </is>
      </c>
      <c r="B5" s="5" t="n">
        <v>6000000</v>
      </c>
      <c r="C5" s="5" t="n">
        <v>6150000</v>
      </c>
      <c r="D5" s="5" t="n">
        <v>7200000</v>
      </c>
      <c r="E5" s="5" t="n">
        <v>11034375</v>
      </c>
      <c r="F5" s="5" t="n">
        <v>15018750</v>
      </c>
      <c r="G5" s="5" t="n">
        <v>19003125</v>
      </c>
      <c r="H5" s="5" t="n">
        <v>22987500</v>
      </c>
      <c r="I5" s="5" t="n">
        <v>24337500</v>
      </c>
      <c r="J5" s="5" t="n">
        <v>25687500</v>
      </c>
      <c r="K5" s="5" t="n">
        <v>27037500</v>
      </c>
      <c r="L5" s="5" t="n">
        <v>28387500</v>
      </c>
      <c r="M5" s="5" t="n">
        <v>29887500</v>
      </c>
      <c r="N5" s="5" t="n">
        <v>31387500</v>
      </c>
      <c r="O5" s="5" t="n">
        <v>32887500</v>
      </c>
      <c r="P5" s="5" t="n">
        <v>34537500</v>
      </c>
      <c r="Q5" s="5" t="n">
        <v>36937500</v>
      </c>
      <c r="R5" s="5" t="n">
        <v>38587500</v>
      </c>
      <c r="S5" s="5" t="n">
        <v>40387500</v>
      </c>
      <c r="T5" s="5" t="n">
        <v>42937500</v>
      </c>
      <c r="U5" s="5" t="n">
        <v>44887500</v>
      </c>
      <c r="V5" s="5" t="n">
        <v>46837500</v>
      </c>
      <c r="W5" s="5" t="n">
        <v>49537500</v>
      </c>
      <c r="X5" s="5" t="n">
        <v>51487500</v>
      </c>
      <c r="Y5" s="5" t="n">
        <v>53437500</v>
      </c>
      <c r="Z5" s="6" t="n">
        <v>726581250</v>
      </c>
    </row>
    <row r="6">
      <c r="A6" s="7" t="inlineStr">
        <is>
          <t>BRUTTO FOYDA</t>
        </is>
      </c>
      <c r="B6" s="8" t="n">
        <v>14000000</v>
      </c>
      <c r="C6" s="8" t="n">
        <v>14350000</v>
      </c>
      <c r="D6" s="8" t="n">
        <v>16800000</v>
      </c>
      <c r="E6" s="8" t="n">
        <v>22653125</v>
      </c>
      <c r="F6" s="8" t="n">
        <v>28856250</v>
      </c>
      <c r="G6" s="8" t="n">
        <v>35059375</v>
      </c>
      <c r="H6" s="8" t="n">
        <v>41262500</v>
      </c>
      <c r="I6" s="8" t="n">
        <v>44412500</v>
      </c>
      <c r="J6" s="8" t="n">
        <v>47562500</v>
      </c>
      <c r="K6" s="8" t="n">
        <v>50712500</v>
      </c>
      <c r="L6" s="8" t="n">
        <v>53862500</v>
      </c>
      <c r="M6" s="8" t="n">
        <v>57362500</v>
      </c>
      <c r="N6" s="8" t="n">
        <v>60862500</v>
      </c>
      <c r="O6" s="8" t="n">
        <v>64362500</v>
      </c>
      <c r="P6" s="8" t="n">
        <v>68212500</v>
      </c>
      <c r="Q6" s="8" t="n">
        <v>73812500</v>
      </c>
      <c r="R6" s="8" t="n">
        <v>77662500</v>
      </c>
      <c r="S6" s="8" t="n">
        <v>81862500</v>
      </c>
      <c r="T6" s="8" t="n">
        <v>87812500</v>
      </c>
      <c r="U6" s="8" t="n">
        <v>92362500</v>
      </c>
      <c r="V6" s="8" t="n">
        <v>96912500</v>
      </c>
      <c r="W6" s="8" t="n">
        <v>103212500</v>
      </c>
      <c r="X6" s="8" t="n">
        <v>107762500</v>
      </c>
      <c r="Y6" s="8" t="n">
        <v>112312500</v>
      </c>
      <c r="Z6" s="6" t="n">
        <v>1454043750</v>
      </c>
    </row>
    <row r="7">
      <c r="A7" t="inlineStr">
        <is>
          <t>OPEX (soliqsiz)</t>
        </is>
      </c>
      <c r="B7" s="5" t="n">
        <v>8300000</v>
      </c>
      <c r="C7" s="5" t="n">
        <v>8300000</v>
      </c>
      <c r="D7" s="5" t="n">
        <v>8300000</v>
      </c>
      <c r="E7" s="5" t="n">
        <v>18100000</v>
      </c>
      <c r="F7" s="5" t="n">
        <v>18100000</v>
      </c>
      <c r="G7" s="5" t="n">
        <v>18100000</v>
      </c>
      <c r="H7" s="5" t="n">
        <v>18900000</v>
      </c>
      <c r="I7" s="5" t="n">
        <v>18900000</v>
      </c>
      <c r="J7" s="5" t="n">
        <v>18900000</v>
      </c>
      <c r="K7" s="5" t="n">
        <v>18900000</v>
      </c>
      <c r="L7" s="5" t="n">
        <v>18900000</v>
      </c>
      <c r="M7" s="5" t="n">
        <v>18900000</v>
      </c>
      <c r="N7" s="5" t="n">
        <v>18900000</v>
      </c>
      <c r="O7" s="5" t="n">
        <v>18900000</v>
      </c>
      <c r="P7" s="5" t="n">
        <v>18900000</v>
      </c>
      <c r="Q7" s="5" t="n">
        <v>18900000</v>
      </c>
      <c r="R7" s="5" t="n">
        <v>18900000</v>
      </c>
      <c r="S7" s="5" t="n">
        <v>18900000</v>
      </c>
      <c r="T7" s="5" t="n">
        <v>18900000</v>
      </c>
      <c r="U7" s="5" t="n">
        <v>18900000</v>
      </c>
      <c r="V7" s="5" t="n">
        <v>18900000</v>
      </c>
      <c r="W7" s="5" t="n">
        <v>18900000</v>
      </c>
      <c r="X7" s="5" t="n">
        <v>18900000</v>
      </c>
      <c r="Y7" s="5" t="n">
        <v>18900000</v>
      </c>
      <c r="Z7" s="6" t="n">
        <v>419400000</v>
      </c>
    </row>
    <row r="8">
      <c r="A8" s="7" t="inlineStr">
        <is>
          <t>EBITDA (soliqqacha)</t>
        </is>
      </c>
      <c r="B8" s="8" t="n">
        <v>5700000</v>
      </c>
      <c r="C8" s="8" t="n">
        <v>6050000</v>
      </c>
      <c r="D8" s="8" t="n">
        <v>8500000</v>
      </c>
      <c r="E8" s="8" t="n">
        <v>4553125</v>
      </c>
      <c r="F8" s="8" t="n">
        <v>10756250</v>
      </c>
      <c r="G8" s="8" t="n">
        <v>16959375</v>
      </c>
      <c r="H8" s="8" t="n">
        <v>22362500</v>
      </c>
      <c r="I8" s="8" t="n">
        <v>25512500</v>
      </c>
      <c r="J8" s="8" t="n">
        <v>28662500</v>
      </c>
      <c r="K8" s="8" t="n">
        <v>31812500</v>
      </c>
      <c r="L8" s="8" t="n">
        <v>34962500</v>
      </c>
      <c r="M8" s="8" t="n">
        <v>38462500</v>
      </c>
      <c r="N8" s="8" t="n">
        <v>41962500</v>
      </c>
      <c r="O8" s="8" t="n">
        <v>45462500</v>
      </c>
      <c r="P8" s="8" t="n">
        <v>49312500</v>
      </c>
      <c r="Q8" s="8" t="n">
        <v>54912500</v>
      </c>
      <c r="R8" s="8" t="n">
        <v>58762500</v>
      </c>
      <c r="S8" s="8" t="n">
        <v>62962500</v>
      </c>
      <c r="T8" s="8" t="n">
        <v>68912500</v>
      </c>
      <c r="U8" s="8" t="n">
        <v>73462500</v>
      </c>
      <c r="V8" s="8" t="n">
        <v>78012500</v>
      </c>
      <c r="W8" s="8" t="n">
        <v>84312500</v>
      </c>
      <c r="X8" s="8" t="n">
        <v>88862500</v>
      </c>
      <c r="Y8" s="8" t="n">
        <v>93412500</v>
      </c>
      <c r="Z8" s="6" t="n">
        <v>1034643750</v>
      </c>
    </row>
    <row r="9">
      <c r="A9" t="inlineStr">
        <is>
          <t>Soliq (4%)</t>
        </is>
      </c>
      <c r="B9" s="5" t="n">
        <v>800000</v>
      </c>
      <c r="C9" s="5" t="n">
        <v>820000</v>
      </c>
      <c r="D9" s="5" t="n">
        <v>960000</v>
      </c>
      <c r="E9" s="5" t="n">
        <v>1347500</v>
      </c>
      <c r="F9" s="5" t="n">
        <v>1755000</v>
      </c>
      <c r="G9" s="5" t="n">
        <v>2162500</v>
      </c>
      <c r="H9" s="5" t="n">
        <v>2570000</v>
      </c>
      <c r="I9" s="5" t="n">
        <v>2750000</v>
      </c>
      <c r="J9" s="5" t="n">
        <v>2930000</v>
      </c>
      <c r="K9" s="5" t="n">
        <v>3110000</v>
      </c>
      <c r="L9" s="5" t="n">
        <v>3290000</v>
      </c>
      <c r="M9" s="5" t="n">
        <v>3490000</v>
      </c>
      <c r="N9" s="5" t="n">
        <v>3690000</v>
      </c>
      <c r="O9" s="5" t="n">
        <v>3890000</v>
      </c>
      <c r="P9" s="5" t="n">
        <v>4110000</v>
      </c>
      <c r="Q9" s="5" t="n">
        <v>4430000</v>
      </c>
      <c r="R9" s="5" t="n">
        <v>4650000</v>
      </c>
      <c r="S9" s="5" t="n">
        <v>4890000</v>
      </c>
      <c r="T9" s="5" t="n">
        <v>5230000</v>
      </c>
      <c r="U9" s="5" t="n">
        <v>5490000</v>
      </c>
      <c r="V9" s="5" t="n">
        <v>5750000</v>
      </c>
      <c r="W9" s="5" t="n">
        <v>6110000</v>
      </c>
      <c r="X9" s="5" t="n">
        <v>6370000</v>
      </c>
      <c r="Y9" s="5" t="n">
        <v>6630000</v>
      </c>
      <c r="Z9" s="6" t="n">
        <v>87225000</v>
      </c>
    </row>
    <row r="10">
      <c r="A10" t="inlineStr">
        <is>
          <t>Operatsion foyda</t>
        </is>
      </c>
      <c r="B10" s="5" t="n">
        <v>4900000</v>
      </c>
      <c r="C10" s="5" t="n">
        <v>5230000</v>
      </c>
      <c r="D10" s="5" t="n">
        <v>7540000</v>
      </c>
      <c r="E10" s="5" t="n">
        <v>3205625</v>
      </c>
      <c r="F10" s="5" t="n">
        <v>9001250</v>
      </c>
      <c r="G10" s="5" t="n">
        <v>14796875</v>
      </c>
      <c r="H10" s="5" t="n">
        <v>19792500</v>
      </c>
      <c r="I10" s="5" t="n">
        <v>22762500</v>
      </c>
      <c r="J10" s="5" t="n">
        <v>25732500</v>
      </c>
      <c r="K10" s="5" t="n">
        <v>28702500</v>
      </c>
      <c r="L10" s="5" t="n">
        <v>31672500</v>
      </c>
      <c r="M10" s="5" t="n">
        <v>34972500</v>
      </c>
      <c r="N10" s="5" t="n">
        <v>38272500</v>
      </c>
      <c r="O10" s="5" t="n">
        <v>41572500</v>
      </c>
      <c r="P10" s="5" t="n">
        <v>45202500</v>
      </c>
      <c r="Q10" s="5" t="n">
        <v>50482500</v>
      </c>
      <c r="R10" s="5" t="n">
        <v>54112500</v>
      </c>
      <c r="S10" s="5" t="n">
        <v>58072500</v>
      </c>
      <c r="T10" s="5" t="n">
        <v>63682500</v>
      </c>
      <c r="U10" s="5" t="n">
        <v>67972500</v>
      </c>
      <c r="V10" s="5" t="n">
        <v>72262500</v>
      </c>
      <c r="W10" s="5" t="n">
        <v>78202500</v>
      </c>
      <c r="X10" s="5" t="n">
        <v>82492500</v>
      </c>
      <c r="Y10" s="5" t="n">
        <v>86782500</v>
      </c>
      <c r="Z10" s="6" t="n">
        <v>947418750</v>
      </c>
    </row>
    <row r="11">
      <c r="A11" t="inlineStr">
        <is>
          <t>Amortizatsiya</t>
        </is>
      </c>
      <c r="B11" s="5" t="n">
        <v>0</v>
      </c>
      <c r="C11" s="5" t="n">
        <v>0</v>
      </c>
      <c r="D11" s="5" t="n">
        <v>0</v>
      </c>
      <c r="E11" s="5" t="n">
        <v>3462983</v>
      </c>
      <c r="F11" s="5" t="n">
        <v>3462983</v>
      </c>
      <c r="G11" s="5" t="n">
        <v>3462983</v>
      </c>
      <c r="H11" s="5" t="n">
        <v>3462983</v>
      </c>
      <c r="I11" s="5" t="n">
        <v>3462983</v>
      </c>
      <c r="J11" s="5" t="n">
        <v>3462983</v>
      </c>
      <c r="K11" s="5" t="n">
        <v>3462983</v>
      </c>
      <c r="L11" s="5" t="n">
        <v>3462983</v>
      </c>
      <c r="M11" s="5" t="n">
        <v>3462983</v>
      </c>
      <c r="N11" s="5" t="n">
        <v>3462983</v>
      </c>
      <c r="O11" s="5" t="n">
        <v>3462983</v>
      </c>
      <c r="P11" s="5" t="n">
        <v>3462983</v>
      </c>
      <c r="Q11" s="5" t="n">
        <v>3462983</v>
      </c>
      <c r="R11" s="5" t="n">
        <v>3462983</v>
      </c>
      <c r="S11" s="5" t="n">
        <v>3462983</v>
      </c>
      <c r="T11" s="5" t="n">
        <v>3462983</v>
      </c>
      <c r="U11" s="5" t="n">
        <v>3462983</v>
      </c>
      <c r="V11" s="5" t="n">
        <v>3462983</v>
      </c>
      <c r="W11" s="5" t="n">
        <v>3462983</v>
      </c>
      <c r="X11" s="5" t="n">
        <v>3462983</v>
      </c>
      <c r="Y11" s="5" t="n">
        <v>3462983</v>
      </c>
      <c r="Z11" s="6" t="n">
        <v>72722643</v>
      </c>
    </row>
    <row r="12">
      <c r="A12" s="7" t="inlineStr">
        <is>
          <t>SOF FOYDA</t>
        </is>
      </c>
      <c r="B12" s="8" t="n">
        <v>4900000</v>
      </c>
      <c r="C12" s="8" t="n">
        <v>5230000</v>
      </c>
      <c r="D12" s="8" t="n">
        <v>7540000</v>
      </c>
      <c r="E12" s="8" t="n">
        <v>-257358</v>
      </c>
      <c r="F12" s="8" t="n">
        <v>5538267</v>
      </c>
      <c r="G12" s="8" t="n">
        <v>11333892</v>
      </c>
      <c r="H12" s="8" t="n">
        <v>16329517</v>
      </c>
      <c r="I12" s="8" t="n">
        <v>19299517</v>
      </c>
      <c r="J12" s="8" t="n">
        <v>22269517</v>
      </c>
      <c r="K12" s="8" t="n">
        <v>25239517</v>
      </c>
      <c r="L12" s="8" t="n">
        <v>28209517</v>
      </c>
      <c r="M12" s="8" t="n">
        <v>31509517</v>
      </c>
      <c r="N12" s="8" t="n">
        <v>34809517</v>
      </c>
      <c r="O12" s="8" t="n">
        <v>38109517</v>
      </c>
      <c r="P12" s="8" t="n">
        <v>41739517</v>
      </c>
      <c r="Q12" s="8" t="n">
        <v>47019517</v>
      </c>
      <c r="R12" s="8" t="n">
        <v>50649517</v>
      </c>
      <c r="S12" s="8" t="n">
        <v>54609517</v>
      </c>
      <c r="T12" s="8" t="n">
        <v>60219517</v>
      </c>
      <c r="U12" s="8" t="n">
        <v>64509517</v>
      </c>
      <c r="V12" s="8" t="n">
        <v>68799517</v>
      </c>
      <c r="W12" s="8" t="n">
        <v>74739517</v>
      </c>
      <c r="X12" s="8" t="n">
        <v>79029517</v>
      </c>
      <c r="Y12" s="8" t="n">
        <v>83319517</v>
      </c>
      <c r="Z12" s="6" t="n">
        <v>874696107</v>
      </c>
    </row>
    <row r="13">
      <c r="A13" t="inlineStr">
        <is>
          <t>Sof marja (%)</t>
        </is>
      </c>
      <c r="B13" s="9" t="n">
        <v>24.5</v>
      </c>
      <c r="C13" s="9" t="n">
        <v>25.5</v>
      </c>
      <c r="D13" s="9" t="n">
        <v>31.4</v>
      </c>
      <c r="E13" s="9" t="n">
        <v>-0.8</v>
      </c>
      <c r="F13" s="9" t="n">
        <v>12.6</v>
      </c>
      <c r="G13" s="9" t="n">
        <v>21</v>
      </c>
      <c r="H13" s="9" t="n">
        <v>25.4</v>
      </c>
      <c r="I13" s="9" t="n">
        <v>28.1</v>
      </c>
      <c r="J13" s="9" t="n">
        <v>30.4</v>
      </c>
      <c r="K13" s="9" t="n">
        <v>32.5</v>
      </c>
      <c r="L13" s="9" t="n">
        <v>34.3</v>
      </c>
      <c r="M13" s="9" t="n">
        <v>36.1</v>
      </c>
      <c r="N13" s="9" t="n">
        <v>37.7</v>
      </c>
      <c r="O13" s="9" t="n">
        <v>39.2</v>
      </c>
      <c r="P13" s="9" t="n">
        <v>40.6</v>
      </c>
      <c r="Q13" s="9" t="n">
        <v>42.5</v>
      </c>
      <c r="R13" s="9" t="n">
        <v>43.6</v>
      </c>
      <c r="S13" s="9" t="n">
        <v>44.7</v>
      </c>
      <c r="T13" s="9" t="n">
        <v>46.1</v>
      </c>
      <c r="U13" s="9" t="n">
        <v>47</v>
      </c>
      <c r="V13" s="9" t="n">
        <v>47.9</v>
      </c>
      <c r="W13" s="9" t="n">
        <v>48.9</v>
      </c>
      <c r="X13" s="9" t="n">
        <v>49.6</v>
      </c>
      <c r="Y13" s="9" t="n">
        <v>50.3</v>
      </c>
      <c r="Z13" s="10" t="n">
        <v>40.1</v>
      </c>
    </row>
    <row r="15">
      <c r="A15" t="inlineStr">
        <is>
          <t>Kumulyativ sof foyda</t>
        </is>
      </c>
      <c r="B15" s="5" t="n">
        <v>4900000</v>
      </c>
      <c r="C15" s="5" t="n">
        <v>10130000</v>
      </c>
      <c r="D15" s="5" t="n">
        <v>17670000</v>
      </c>
      <c r="E15" s="5" t="n">
        <v>17412642</v>
      </c>
      <c r="F15" s="5" t="n">
        <v>22950909</v>
      </c>
      <c r="G15" s="5" t="n">
        <v>34284801</v>
      </c>
      <c r="H15" s="5" t="n">
        <v>50614318</v>
      </c>
      <c r="I15" s="5" t="n">
        <v>69913835</v>
      </c>
      <c r="J15" s="5" t="n">
        <v>92183352</v>
      </c>
      <c r="K15" s="5" t="n">
        <v>117422869</v>
      </c>
      <c r="L15" s="5" t="n">
        <v>145632386</v>
      </c>
      <c r="M15" s="5" t="n">
        <v>177141903</v>
      </c>
      <c r="N15" s="5" t="n">
        <v>211951420</v>
      </c>
      <c r="O15" s="5" t="n">
        <v>250060937</v>
      </c>
      <c r="P15" s="5" t="n">
        <v>291800454</v>
      </c>
      <c r="Q15" s="5" t="n">
        <v>338819971</v>
      </c>
      <c r="R15" s="5" t="n">
        <v>389469488</v>
      </c>
      <c r="S15" s="5" t="n">
        <v>444079005</v>
      </c>
      <c r="T15" s="5" t="n">
        <v>504298522</v>
      </c>
      <c r="U15" s="5" t="n">
        <v>568808039</v>
      </c>
      <c r="V15" s="5" t="n">
        <v>637607556</v>
      </c>
      <c r="W15" s="5" t="n">
        <v>712347073</v>
      </c>
      <c r="X15" s="5" t="n">
        <v>791376590</v>
      </c>
      <c r="Y15" s="5" t="n">
        <v>874696107</v>
      </c>
      <c r="Z15" s="6" t="n">
        <v>874696107</v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2" customHeight="1">
      <c r="A1" s="1" t="inlineStr">
        <is>
          <t>7. STARTAP KO'RSATKICHLARI</t>
        </is>
      </c>
    </row>
    <row r="3">
      <c r="A3" s="2" t="inlineStr">
        <is>
          <t>Metrika</t>
        </is>
      </c>
      <c r="B3" s="3" t="inlineStr">
        <is>
          <t>Sep'26</t>
        </is>
      </c>
      <c r="C3" s="3" t="inlineStr">
        <is>
          <t>Oct'26</t>
        </is>
      </c>
      <c r="D3" s="3" t="inlineStr">
        <is>
          <t>Nov'26</t>
        </is>
      </c>
      <c r="E3" s="3" t="inlineStr">
        <is>
          <t>Dec'26</t>
        </is>
      </c>
      <c r="F3" s="3" t="inlineStr">
        <is>
          <t>Jan'27</t>
        </is>
      </c>
      <c r="G3" s="3" t="inlineStr">
        <is>
          <t>Feb'27</t>
        </is>
      </c>
      <c r="H3" s="3" t="inlineStr">
        <is>
          <t>Mar'27</t>
        </is>
      </c>
      <c r="I3" s="3" t="inlineStr">
        <is>
          <t>Apr'27</t>
        </is>
      </c>
      <c r="J3" s="3" t="inlineStr">
        <is>
          <t>May'27</t>
        </is>
      </c>
      <c r="K3" s="3" t="inlineStr">
        <is>
          <t>Jun'27</t>
        </is>
      </c>
      <c r="L3" s="3" t="inlineStr">
        <is>
          <t>Jul'27</t>
        </is>
      </c>
      <c r="M3" s="3" t="inlineStr">
        <is>
          <t>Aug'27</t>
        </is>
      </c>
      <c r="N3" s="3" t="inlineStr">
        <is>
          <t>Sep'27</t>
        </is>
      </c>
      <c r="O3" s="3" t="inlineStr">
        <is>
          <t>Oct'27</t>
        </is>
      </c>
      <c r="P3" s="3" t="inlineStr">
        <is>
          <t>Nov'27</t>
        </is>
      </c>
      <c r="Q3" s="3" t="inlineStr">
        <is>
          <t>Dec'27</t>
        </is>
      </c>
      <c r="R3" s="3" t="inlineStr">
        <is>
          <t>Jan'28</t>
        </is>
      </c>
      <c r="S3" s="3" t="inlineStr">
        <is>
          <t>Feb'28</t>
        </is>
      </c>
      <c r="T3" s="3" t="inlineStr">
        <is>
          <t>Mar'28</t>
        </is>
      </c>
      <c r="U3" s="3" t="inlineStr">
        <is>
          <t>Apr'28</t>
        </is>
      </c>
      <c r="V3" s="3" t="inlineStr">
        <is>
          <t>May'28</t>
        </is>
      </c>
      <c r="W3" s="3" t="inlineStr">
        <is>
          <t>Jun'28</t>
        </is>
      </c>
      <c r="X3" s="3" t="inlineStr">
        <is>
          <t>Jul'28</t>
        </is>
      </c>
      <c r="Y3" s="3" t="inlineStr">
        <is>
          <t>Aug'28</t>
        </is>
      </c>
      <c r="Z3" s="4" t="inlineStr">
        <is>
          <t>O'rtacha</t>
        </is>
      </c>
    </row>
    <row r="4">
      <c r="A4" t="inlineStr">
        <is>
          <t>MRR</t>
        </is>
      </c>
      <c r="B4" s="5" t="n">
        <v>20000000</v>
      </c>
      <c r="C4" s="5" t="n">
        <v>20500000</v>
      </c>
      <c r="D4" s="5" t="n">
        <v>24000000</v>
      </c>
      <c r="E4" s="5" t="n">
        <v>27500000</v>
      </c>
      <c r="F4" s="5" t="n">
        <v>31500000</v>
      </c>
      <c r="G4" s="5" t="n">
        <v>35500000</v>
      </c>
      <c r="H4" s="5" t="n">
        <v>39500000</v>
      </c>
      <c r="I4" s="5" t="n">
        <v>44000000</v>
      </c>
      <c r="J4" s="5" t="n">
        <v>48500000</v>
      </c>
      <c r="K4" s="5" t="n">
        <v>53000000</v>
      </c>
      <c r="L4" s="5" t="n">
        <v>57500000</v>
      </c>
      <c r="M4" s="5" t="n">
        <v>62500000</v>
      </c>
      <c r="N4" s="5" t="n">
        <v>67500000</v>
      </c>
      <c r="O4" s="5" t="n">
        <v>72500000</v>
      </c>
      <c r="P4" s="5" t="n">
        <v>78000000</v>
      </c>
      <c r="Q4" s="5" t="n">
        <v>86000000</v>
      </c>
      <c r="R4" s="5" t="n">
        <v>91500000</v>
      </c>
      <c r="S4" s="5" t="n">
        <v>97500000</v>
      </c>
      <c r="T4" s="5" t="n">
        <v>106000000</v>
      </c>
      <c r="U4" s="5" t="n">
        <v>112500000</v>
      </c>
      <c r="V4" s="5" t="n">
        <v>119000000</v>
      </c>
      <c r="W4" s="5" t="n">
        <v>128000000</v>
      </c>
      <c r="X4" s="5" t="n">
        <v>134500000</v>
      </c>
      <c r="Y4" s="5" t="n">
        <v>141000000</v>
      </c>
      <c r="Z4" s="6" t="n">
        <v>141000000</v>
      </c>
    </row>
    <row r="5">
      <c r="A5" t="inlineStr">
        <is>
          <t>ARR</t>
        </is>
      </c>
      <c r="B5" s="5" t="n">
        <v>240000000</v>
      </c>
      <c r="C5" s="5" t="n">
        <v>246000000</v>
      </c>
      <c r="D5" s="5" t="n">
        <v>288000000</v>
      </c>
      <c r="E5" s="5" t="n">
        <v>330000000</v>
      </c>
      <c r="F5" s="5" t="n">
        <v>378000000</v>
      </c>
      <c r="G5" s="5" t="n">
        <v>426000000</v>
      </c>
      <c r="H5" s="5" t="n">
        <v>474000000</v>
      </c>
      <c r="I5" s="5" t="n">
        <v>528000000</v>
      </c>
      <c r="J5" s="5" t="n">
        <v>582000000</v>
      </c>
      <c r="K5" s="5" t="n">
        <v>636000000</v>
      </c>
      <c r="L5" s="5" t="n">
        <v>690000000</v>
      </c>
      <c r="M5" s="5" t="n">
        <v>750000000</v>
      </c>
      <c r="N5" s="5" t="n">
        <v>810000000</v>
      </c>
      <c r="O5" s="5" t="n">
        <v>870000000</v>
      </c>
      <c r="P5" s="5" t="n">
        <v>936000000</v>
      </c>
      <c r="Q5" s="5" t="n">
        <v>1032000000</v>
      </c>
      <c r="R5" s="5" t="n">
        <v>1098000000</v>
      </c>
      <c r="S5" s="5" t="n">
        <v>1170000000</v>
      </c>
      <c r="T5" s="5" t="n">
        <v>1272000000</v>
      </c>
      <c r="U5" s="5" t="n">
        <v>1350000000</v>
      </c>
      <c r="V5" s="5" t="n">
        <v>1428000000</v>
      </c>
      <c r="W5" s="5" t="n">
        <v>1536000000</v>
      </c>
      <c r="X5" s="5" t="n">
        <v>1614000000</v>
      </c>
      <c r="Y5" s="5" t="n">
        <v>1692000000</v>
      </c>
      <c r="Z5" s="6" t="n">
        <v>1692000000</v>
      </c>
    </row>
    <row r="6">
      <c r="A6" t="inlineStr">
        <is>
          <t>ARPU</t>
        </is>
      </c>
      <c r="B6" s="5" t="n">
        <v>1000000</v>
      </c>
      <c r="C6" s="5" t="n">
        <v>976190</v>
      </c>
      <c r="D6" s="5" t="n">
        <v>1000000</v>
      </c>
      <c r="E6" s="5" t="n">
        <v>1247685</v>
      </c>
      <c r="F6" s="5" t="n">
        <v>1415323</v>
      </c>
      <c r="G6" s="5" t="n">
        <v>1544643</v>
      </c>
      <c r="H6" s="5" t="n">
        <v>1647436</v>
      </c>
      <c r="I6" s="5" t="n">
        <v>1562500</v>
      </c>
      <c r="J6" s="5" t="n">
        <v>1494898</v>
      </c>
      <c r="K6" s="5" t="n">
        <v>1439815</v>
      </c>
      <c r="L6" s="5" t="n">
        <v>1394068</v>
      </c>
      <c r="M6" s="5" t="n">
        <v>1342308</v>
      </c>
      <c r="N6" s="5" t="n">
        <v>1299296</v>
      </c>
      <c r="O6" s="5" t="n">
        <v>1262987</v>
      </c>
      <c r="P6" s="5" t="n">
        <v>1223214</v>
      </c>
      <c r="Q6" s="5" t="n">
        <v>1203804</v>
      </c>
      <c r="R6" s="5" t="n">
        <v>1174242</v>
      </c>
      <c r="S6" s="5" t="n">
        <v>1142523</v>
      </c>
      <c r="T6" s="5" t="n">
        <v>1127155</v>
      </c>
      <c r="U6" s="5" t="n">
        <v>1098000</v>
      </c>
      <c r="V6" s="5" t="n">
        <v>1072761</v>
      </c>
      <c r="W6" s="5" t="n">
        <v>1060764</v>
      </c>
      <c r="X6" s="5" t="n">
        <v>1040850</v>
      </c>
      <c r="Y6" s="5" t="n">
        <v>1023148</v>
      </c>
      <c r="Z6" s="6" t="n">
        <v>1241400</v>
      </c>
    </row>
    <row r="7">
      <c r="A7" t="inlineStr">
        <is>
          <t>CAC</t>
        </is>
      </c>
      <c r="B7" s="5" t="inlineStr">
        <is>
          <t>—</t>
        </is>
      </c>
      <c r="C7" s="5" t="n">
        <v>2700000</v>
      </c>
      <c r="D7" s="5" t="n">
        <v>900000</v>
      </c>
      <c r="E7" s="5" t="n">
        <v>1400000</v>
      </c>
      <c r="F7" s="5" t="n">
        <v>1050000</v>
      </c>
      <c r="G7" s="5" t="n">
        <v>1050000</v>
      </c>
      <c r="H7" s="5" t="n">
        <v>1050000</v>
      </c>
      <c r="I7" s="5" t="n">
        <v>840000</v>
      </c>
      <c r="J7" s="5" t="n">
        <v>840000</v>
      </c>
      <c r="K7" s="5" t="n">
        <v>840000</v>
      </c>
      <c r="L7" s="5" t="n">
        <v>840000</v>
      </c>
      <c r="M7" s="5" t="n">
        <v>700000</v>
      </c>
      <c r="N7" s="5" t="n">
        <v>700000</v>
      </c>
      <c r="O7" s="5" t="n">
        <v>700000</v>
      </c>
      <c r="P7" s="5" t="n">
        <v>600000</v>
      </c>
      <c r="Q7" s="5" t="n">
        <v>525000</v>
      </c>
      <c r="R7" s="5" t="n">
        <v>600000</v>
      </c>
      <c r="S7" s="5" t="n">
        <v>525000</v>
      </c>
      <c r="T7" s="5" t="n">
        <v>466667</v>
      </c>
      <c r="U7" s="5" t="n">
        <v>466667</v>
      </c>
      <c r="V7" s="5" t="n">
        <v>466667</v>
      </c>
      <c r="W7" s="5" t="n">
        <v>420000</v>
      </c>
      <c r="X7" s="5" t="n">
        <v>466667</v>
      </c>
      <c r="Y7" s="5" t="n">
        <v>466667</v>
      </c>
      <c r="Z7" s="6" t="n">
        <v>809275</v>
      </c>
    </row>
    <row r="8">
      <c r="A8" t="inlineStr">
        <is>
          <t>LTV</t>
        </is>
      </c>
      <c r="B8" s="5" t="n">
        <v>16800000</v>
      </c>
      <c r="C8" s="5" t="n">
        <v>16399992</v>
      </c>
      <c r="D8" s="5" t="n">
        <v>16800000</v>
      </c>
      <c r="E8" s="5" t="n">
        <v>20136108</v>
      </c>
      <c r="F8" s="5" t="n">
        <v>22340329</v>
      </c>
      <c r="G8" s="5" t="n">
        <v>24040717</v>
      </c>
      <c r="H8" s="5" t="n">
        <v>25392309</v>
      </c>
      <c r="I8" s="5" t="n">
        <v>24225000</v>
      </c>
      <c r="J8" s="5" t="n">
        <v>23295919</v>
      </c>
      <c r="K8" s="5" t="n">
        <v>22538892</v>
      </c>
      <c r="L8" s="5" t="n">
        <v>21910173</v>
      </c>
      <c r="M8" s="5" t="n">
        <v>21180005</v>
      </c>
      <c r="N8" s="5" t="n">
        <v>20573243</v>
      </c>
      <c r="O8" s="5" t="n">
        <v>20061039</v>
      </c>
      <c r="P8" s="5" t="n">
        <v>19489281</v>
      </c>
      <c r="Q8" s="5" t="n">
        <v>19255429</v>
      </c>
      <c r="R8" s="5" t="n">
        <v>18827266</v>
      </c>
      <c r="S8" s="5" t="n">
        <v>18361676</v>
      </c>
      <c r="T8" s="5" t="n">
        <v>18168101</v>
      </c>
      <c r="U8" s="5" t="n">
        <v>17733600</v>
      </c>
      <c r="V8" s="5" t="n">
        <v>17357460</v>
      </c>
      <c r="W8" s="5" t="n">
        <v>17202085</v>
      </c>
      <c r="X8" s="5" t="n">
        <v>16903927</v>
      </c>
      <c r="Y8" s="5" t="n">
        <v>16638886</v>
      </c>
      <c r="Z8" s="6" t="n">
        <v>19817977</v>
      </c>
    </row>
    <row r="9">
      <c r="A9" t="inlineStr">
        <is>
          <t>LTV/CAC</t>
        </is>
      </c>
      <c r="B9" s="9" t="inlineStr">
        <is>
          <t>—</t>
        </is>
      </c>
      <c r="C9" s="9" t="n">
        <v>6.1</v>
      </c>
      <c r="D9" s="9" t="n">
        <v>18.7</v>
      </c>
      <c r="E9" s="9" t="n">
        <v>14.4</v>
      </c>
      <c r="F9" s="9" t="n">
        <v>21.3</v>
      </c>
      <c r="G9" s="9" t="n">
        <v>22.9</v>
      </c>
      <c r="H9" s="9" t="n">
        <v>24.2</v>
      </c>
      <c r="I9" s="9" t="n">
        <v>28.8</v>
      </c>
      <c r="J9" s="9" t="n">
        <v>27.7</v>
      </c>
      <c r="K9" s="9" t="n">
        <v>26.8</v>
      </c>
      <c r="L9" s="9" t="n">
        <v>26.1</v>
      </c>
      <c r="M9" s="9" t="n">
        <v>30.3</v>
      </c>
      <c r="N9" s="9" t="n">
        <v>29.4</v>
      </c>
      <c r="O9" s="9" t="n">
        <v>28.7</v>
      </c>
      <c r="P9" s="9" t="n">
        <v>32.5</v>
      </c>
      <c r="Q9" s="9" t="n">
        <v>36.7</v>
      </c>
      <c r="R9" s="9" t="n">
        <v>31.4</v>
      </c>
      <c r="S9" s="9" t="n">
        <v>35</v>
      </c>
      <c r="T9" s="9" t="n">
        <v>38.9</v>
      </c>
      <c r="U9" s="9" t="n">
        <v>38</v>
      </c>
      <c r="V9" s="9" t="n">
        <v>37.2</v>
      </c>
      <c r="W9" s="9" t="n">
        <v>41</v>
      </c>
      <c r="X9" s="9" t="n">
        <v>36.2</v>
      </c>
      <c r="Y9" s="9" t="n">
        <v>35.7</v>
      </c>
      <c r="Z9" s="10" t="n">
        <v>29</v>
      </c>
    </row>
    <row r="11">
      <c r="A11" s="7" t="inlineStr">
        <is>
          <t>LTV = ARPU × brutto marja × mijoz umri</t>
        </is>
      </c>
    </row>
    <row r="12">
      <c r="A12" t="inlineStr">
        <is>
          <t>Mijoz umri = min(1/churn, 24 oy) = 24 oy — model gorizontidan uzoqroq daromad va'da qilinmaydi</t>
        </is>
      </c>
    </row>
    <row r="13">
      <c r="A13" t="inlineStr">
        <is>
          <t>CAC = (marketing + direktor ish haqining 40%) / yangi mijozlar — degustatsiyalarni direktor o'zi o'tkazadi</t>
        </is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48" customWidth="1" min="3" max="3"/>
  </cols>
  <sheetData>
    <row r="1" ht="22" customHeight="1">
      <c r="A1" s="1" t="inlineStr">
        <is>
          <t>MICROGREEN AND STRAWBERRY — FIN MODEL XULOSA</t>
        </is>
      </c>
    </row>
    <row r="3">
      <c r="A3" s="13" t="inlineStr">
        <is>
          <t>INVESTITSIYA</t>
        </is>
      </c>
      <c r="B3" t="inlineStr"/>
      <c r="C3" t="inlineStr"/>
    </row>
    <row r="4">
      <c r="A4" t="inlineStr">
        <is>
          <t>So'ralayotgan summa</t>
        </is>
      </c>
      <c r="B4" t="inlineStr">
        <is>
          <t>$35,000</t>
        </is>
      </c>
      <c r="C4" t="inlineStr">
        <is>
          <t>455,000,000 UZS</t>
        </is>
      </c>
    </row>
    <row r="5">
      <c r="A5" t="inlineStr">
        <is>
          <t xml:space="preserve">  — moddalar</t>
        </is>
      </c>
      <c r="B5" t="inlineStr">
        <is>
          <t>$30,000</t>
        </is>
      </c>
      <c r="C5" t="inlineStr">
        <is>
          <t>390,000,000 UZS</t>
        </is>
      </c>
    </row>
    <row r="6">
      <c r="A6" t="inlineStr">
        <is>
          <t xml:space="preserve">  — zaxira</t>
        </is>
      </c>
      <c r="B6" t="inlineStr">
        <is>
          <t>$5,000</t>
        </is>
      </c>
      <c r="C6" t="inlineStr">
        <is>
          <t>65,000,000 UZS</t>
        </is>
      </c>
    </row>
    <row r="7">
      <c r="A7" t="inlineStr">
        <is>
          <t>Valyuta kursi</t>
        </is>
      </c>
      <c r="B7" t="inlineStr">
        <is>
          <t>13,000 UZS/$</t>
        </is>
      </c>
      <c r="C7" t="inlineStr"/>
    </row>
    <row r="8">
      <c r="A8" t="inlineStr">
        <is>
          <t>CAPEX (amortizatsiya bazasi)</t>
        </is>
      </c>
      <c r="B8" t="inlineStr">
        <is>
          <t>207,779,000 UZS</t>
        </is>
      </c>
      <c r="C8" t="inlineStr">
        <is>
          <t>60 oyda amortizatsiya</t>
        </is>
      </c>
    </row>
    <row r="9">
      <c r="A9" t="inlineStr"/>
      <c r="B9" t="inlineStr"/>
      <c r="C9" t="inlineStr"/>
    </row>
    <row r="10">
      <c r="A10" t="inlineStr">
        <is>
          <t>DAVR</t>
        </is>
      </c>
      <c r="B10" t="inlineStr">
        <is>
          <t>Sep'26 — Aug'28</t>
        </is>
      </c>
      <c r="C10" t="inlineStr">
        <is>
          <t>24 oy</t>
        </is>
      </c>
    </row>
    <row r="11">
      <c r="A11" t="inlineStr">
        <is>
          <t>Boshlang'ich baza (M1)</t>
        </is>
      </c>
      <c r="B11" t="inlineStr">
        <is>
          <t>20,000,000 UZS/oy</t>
        </is>
      </c>
      <c r="C11" t="inlineStr">
        <is>
          <t>5 restoran + 15 oila — FAKT</t>
        </is>
      </c>
    </row>
    <row r="12">
      <c r="A12" t="inlineStr"/>
      <c r="B12" t="inlineStr"/>
      <c r="C12" t="inlineStr"/>
    </row>
    <row r="13">
      <c r="A13" s="13" t="inlineStr">
        <is>
          <t>DAROMAD</t>
        </is>
      </c>
      <c r="B13" t="inlineStr"/>
      <c r="C13" t="inlineStr"/>
    </row>
    <row r="14">
      <c r="A14" t="inlineStr">
        <is>
          <t>Jami daromad</t>
        </is>
      </c>
      <c r="B14" t="inlineStr">
        <is>
          <t>2,180,625,000 UZS</t>
        </is>
      </c>
      <c r="C14" t="inlineStr">
        <is>
          <t>$167,740</t>
        </is>
      </c>
    </row>
    <row r="15">
      <c r="A15" t="inlineStr">
        <is>
          <t>Oxirgi oy daromadi</t>
        </is>
      </c>
      <c r="B15" t="inlineStr">
        <is>
          <t>165,750,000 UZS</t>
        </is>
      </c>
      <c r="C15" t="inlineStr">
        <is>
          <t>$12,750</t>
        </is>
      </c>
    </row>
    <row r="16">
      <c r="A16" t="inlineStr">
        <is>
          <t>MRR (oxirgi oy)</t>
        </is>
      </c>
      <c r="B16" t="inlineStr">
        <is>
          <t>141,000,000 UZS</t>
        </is>
      </c>
      <c r="C16" t="inlineStr"/>
    </row>
    <row r="17">
      <c r="A17" t="inlineStr">
        <is>
          <t>ARR (oxirgi oy)</t>
        </is>
      </c>
      <c r="B17" t="inlineStr">
        <is>
          <t>1,692,000,000 UZS</t>
        </is>
      </c>
      <c r="C17" t="inlineStr">
        <is>
          <t>$130,154</t>
        </is>
      </c>
    </row>
    <row r="18">
      <c r="A18" t="inlineStr"/>
      <c r="B18" t="inlineStr"/>
      <c r="C18" t="inlineStr"/>
    </row>
    <row r="19">
      <c r="A19" s="13" t="inlineStr">
        <is>
          <t>FOYDA</t>
        </is>
      </c>
      <c r="B19" t="inlineStr"/>
      <c r="C19" t="inlineStr"/>
    </row>
    <row r="20">
      <c r="A20" t="inlineStr">
        <is>
          <t>Jami sof foyda</t>
        </is>
      </c>
      <c r="B20" t="inlineStr">
        <is>
          <t>874,696,107 UZS</t>
        </is>
      </c>
      <c r="C20" t="inlineStr">
        <is>
          <t>$67,284</t>
        </is>
      </c>
    </row>
    <row r="21">
      <c r="A21" t="inlineStr">
        <is>
          <t>EBITDA marja (o'rtacha)</t>
        </is>
      </c>
      <c r="B21" t="inlineStr">
        <is>
          <t>47.4%</t>
        </is>
      </c>
      <c r="C21" t="inlineStr">
        <is>
          <t>soliqqacha</t>
        </is>
      </c>
    </row>
    <row r="22">
      <c r="A22" t="inlineStr">
        <is>
          <t>Break-even</t>
        </is>
      </c>
      <c r="B22" t="inlineStr">
        <is>
          <t>Sep'26</t>
        </is>
      </c>
      <c r="C22" t="inlineStr">
        <is>
          <t>kompaniya bugun ham foydali — investitsiya o'sish uchun</t>
        </is>
      </c>
    </row>
    <row r="23">
      <c r="A23" t="inlineStr">
        <is>
          <t>ROI (24 oy)</t>
        </is>
      </c>
      <c r="B23" t="inlineStr">
        <is>
          <t>192%</t>
        </is>
      </c>
      <c r="C23" t="inlineStr">
        <is>
          <t>transh kelgan kundan hisoblanadi</t>
        </is>
      </c>
    </row>
    <row r="24">
      <c r="A24" t="inlineStr"/>
      <c r="B24" t="inlineStr"/>
      <c r="C24" t="inlineStr"/>
    </row>
    <row r="25">
      <c r="A25" s="13" t="inlineStr">
        <is>
          <t>MIJOZLAR</t>
        </is>
      </c>
      <c r="B25" t="inlineStr"/>
      <c r="C25" t="inlineStr"/>
    </row>
    <row r="26">
      <c r="A26" t="inlineStr">
        <is>
          <t>Oxirgi oy</t>
        </is>
      </c>
      <c r="B26" t="inlineStr">
        <is>
          <t>162</t>
        </is>
      </c>
      <c r="C26" t="inlineStr">
        <is>
          <t>30 restoran + 132 oila</t>
        </is>
      </c>
    </row>
    <row r="27">
      <c r="A27" t="inlineStr">
        <is>
          <t>Churn (oylik)</t>
        </is>
      </c>
      <c r="B27" t="inlineStr">
        <is>
          <t>2.5%</t>
        </is>
      </c>
      <c r="C27" t="inlineStr"/>
    </row>
    <row r="28">
      <c r="A28" t="inlineStr">
        <is>
          <t>LTV/CAC (o'rtacha)</t>
        </is>
      </c>
      <c r="B28" t="inlineStr">
        <is>
          <t>29.0x</t>
        </is>
      </c>
      <c r="C28" t="inlineStr">
        <is>
          <t>formula 7-varaqda</t>
        </is>
      </c>
    </row>
    <row r="29">
      <c r="A29" t="inlineStr"/>
      <c r="B29" t="inlineStr"/>
      <c r="C29" t="inlineStr"/>
    </row>
    <row r="30">
      <c r="A30" s="13" t="inlineStr">
        <is>
          <t>KASSA</t>
        </is>
      </c>
      <c r="B30" t="inlineStr"/>
      <c r="C30" t="inlineStr"/>
    </row>
    <row r="31">
      <c r="A31" t="inlineStr">
        <is>
          <t>Kassa qoldig'i (M24)</t>
        </is>
      </c>
      <c r="B31" t="inlineStr">
        <is>
          <t>1,876,431,000 UZS</t>
        </is>
      </c>
      <c r="C31" t="inlineStr">
        <is>
          <t>$144,341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2026-08-12T19:23:47Z</dcterms:created>
  <dcterms:modified xmlns:dcterms="http://purl.org/dc/terms/" xmlns:xsi="http://www.w3.org/2001/XMLSchema-instance" xsi:type="dcterms:W3CDTF">2026-08-12T19:23:47Z</dcterms:modified>
</cp:coreProperties>
</file>